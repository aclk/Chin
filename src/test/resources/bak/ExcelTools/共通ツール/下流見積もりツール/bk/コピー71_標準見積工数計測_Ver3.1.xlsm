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120" yWindow="105" windowWidth="13875" windowHeight="9795" firstSheet="6" activeTab="11"/>
  </bookViews>
  <sheets>
    <sheet name="【説明】手順" sheetId="32" r:id="rId1"/>
    <sheet name="【説明】変更箇所の検知" sheetId="20" r:id="rId2"/>
    <sheet name="【説明】アドイン設定" sheetId="31" r:id="rId3"/>
    <sheet name="設定(計測・登録)" sheetId="1" r:id="rId4"/>
    <sheet name="一覧" sheetId="12" r:id="rId5"/>
    <sheet name="結果" sheetId="18" r:id="rId6"/>
    <sheet name="結果（BMC・BSP）" sheetId="22" r:id="rId7"/>
    <sheet name="設定(検索・見積)" sheetId="25" r:id="rId8"/>
    <sheet name="仕様書別計測・見積結果" sheetId="28" r:id="rId9"/>
    <sheet name="計測・見積結果" sheetId="29" r:id="rId10"/>
    <sheet name="選択肢" sheetId="21" r:id="rId11"/>
    <sheet name="接続先" sheetId="24" r:id="rId12"/>
    <sheet name="改訂履歴" sheetId="30" r:id="rId13"/>
  </sheets>
  <externalReferences>
    <externalReference r:id="rId14"/>
    <externalReference r:id="rId15"/>
  </externalReferences>
  <definedNames>
    <definedName name="_xlnm._FilterDatabase" localSheetId="4" hidden="1">一覧!$A$1:$Y$1084</definedName>
    <definedName name="_xlnm._FilterDatabase" localSheetId="9" hidden="1">計測・見積結果!$B$9:$AM$9</definedName>
    <definedName name="_xlnm._FilterDatabase" localSheetId="5" hidden="1">結果!$A$9:$AA$9</definedName>
    <definedName name="_xlnm._FilterDatabase" localSheetId="6" hidden="1">'結果（BMC・BSP）'!$B$9:$H$9</definedName>
    <definedName name="_xlnm._FilterDatabase" localSheetId="8" hidden="1">仕様書別計測・見積結果!$B$9:$AI$9</definedName>
    <definedName name="■案件コード■" localSheetId="2">[1]選択肢!$A$5:$A$19</definedName>
    <definedName name="■案件コード■">選択肢!$A$5:$A$32</definedName>
    <definedName name="DB接続先" localSheetId="2">[2]接続先!$A$2:$A$4</definedName>
    <definedName name="DB接続先">接続先!$A$2:$A$4</definedName>
    <definedName name="_xlnm.Print_Area" localSheetId="0">【説明】手順!$A$1:$R$321</definedName>
    <definedName name="_xlnm.Print_Area" localSheetId="1">【説明】変更箇所の検知!$A$1:$R$98</definedName>
  </definedNames>
  <calcPr calcId="145621"/>
</workbook>
</file>

<file path=xl/calcChain.xml><?xml version="1.0" encoding="utf-8"?>
<calcChain xmlns="http://schemas.openxmlformats.org/spreadsheetml/2006/main">
  <c r="E3" i="12" l="1"/>
</calcChain>
</file>

<file path=xl/comments1.xml><?xml version="1.0" encoding="utf-8"?>
<comments xmlns="http://schemas.openxmlformats.org/spreadsheetml/2006/main">
  <authors>
    <author>M16135H</author>
  </authors>
  <commentList>
    <comment ref="K18" authorId="0">
      <text>
        <r>
          <rPr>
            <b/>
            <sz val="9"/>
            <color indexed="81"/>
            <rFont val="ＭＳ Ｐゴシック"/>
            <family val="3"/>
            <charset val="128"/>
          </rPr>
          <t>”○”の場合
　　　計測対象になる
”×”の場合
　　　計測対象外になる</t>
        </r>
      </text>
    </comment>
  </commentList>
</comments>
</file>

<file path=xl/comments2.xml><?xml version="1.0" encoding="utf-8"?>
<comments xmlns="http://schemas.openxmlformats.org/spreadsheetml/2006/main">
  <authors>
    <author>M16135H</author>
  </authors>
  <commentList>
    <comment ref="AA2" authorId="0">
      <text>
        <r>
          <rPr>
            <b/>
            <sz val="11"/>
            <color indexed="81"/>
            <rFont val="ＭＳ 明朝"/>
            <family val="1"/>
            <charset val="128"/>
          </rPr>
          <t>仕様書の係数</t>
        </r>
      </text>
    </comment>
    <comment ref="AD6" authorId="0">
      <text>
        <r>
          <rPr>
            <b/>
            <sz val="11"/>
            <color indexed="81"/>
            <rFont val="ＭＳ 明朝"/>
            <family val="1"/>
            <charset val="128"/>
          </rPr>
          <t>1ｹｰｽ当りの作業時間
　15分/ｹｰｽ</t>
        </r>
      </text>
    </comment>
    <comment ref="AE6" authorId="0">
      <text>
        <r>
          <rPr>
            <b/>
            <sz val="11"/>
            <color indexed="81"/>
            <rFont val="ＭＳ 明朝"/>
            <family val="1"/>
            <charset val="128"/>
          </rPr>
          <t>ﾃｽﾄ仕様書作成
30分/PAGE</t>
        </r>
      </text>
    </comment>
    <comment ref="AG6" authorId="0">
      <text>
        <r>
          <rPr>
            <b/>
            <sz val="11"/>
            <color indexed="81"/>
            <rFont val="ＭＳ 明朝"/>
            <family val="1"/>
            <charset val="128"/>
          </rPr>
          <t>手動ﾃｽﾄ
30分/画面</t>
        </r>
      </text>
    </comment>
    <comment ref="P7" authorId="0">
      <text>
        <r>
          <rPr>
            <b/>
            <sz val="11"/>
            <color indexed="81"/>
            <rFont val="ＭＳ 明朝"/>
            <family val="1"/>
            <charset val="128"/>
          </rPr>
          <t>FVの難易度係数</t>
        </r>
      </text>
    </comment>
    <comment ref="P8" authorId="0">
      <text>
        <r>
          <rPr>
            <b/>
            <sz val="11"/>
            <color indexed="81"/>
            <rFont val="ＭＳ 明朝"/>
            <family val="1"/>
            <charset val="128"/>
          </rPr>
          <t>FV以外の難易度係数</t>
        </r>
      </text>
    </comment>
  </commentList>
</comments>
</file>

<file path=xl/sharedStrings.xml><?xml version="1.0" encoding="utf-8"?>
<sst xmlns="http://schemas.openxmlformats.org/spreadsheetml/2006/main" count="321" uniqueCount="217">
  <si>
    <t>○</t>
    <phoneticPr fontId="1"/>
  </si>
  <si>
    <t>除外条件</t>
    <rPh sb="0" eb="2">
      <t>ジョガイ</t>
    </rPh>
    <rPh sb="2" eb="4">
      <t>ジョウケン</t>
    </rPh>
    <phoneticPr fontId="1"/>
  </si>
  <si>
    <t>1：～で終わるファイルのみ</t>
  </si>
  <si>
    <t>2：～を含むファイルのみ</t>
  </si>
  <si>
    <t>3：～で始まるファイルをのみ</t>
  </si>
  <si>
    <t>4：～で終わるファイルを除く</t>
  </si>
  <si>
    <t>5：～を含むファイルを除く</t>
  </si>
  <si>
    <t>6：～で始まるファイルを除く</t>
  </si>
  <si>
    <t>7：</t>
  </si>
  <si>
    <t>8：</t>
  </si>
  <si>
    <t>9：</t>
  </si>
  <si>
    <t>条件</t>
    <rPh sb="0" eb="2">
      <t>ジョウケン</t>
    </rPh>
    <phoneticPr fontId="1"/>
  </si>
  <si>
    <t>№</t>
    <phoneticPr fontId="1"/>
  </si>
  <si>
    <t>ファイル名</t>
    <rPh sb="4" eb="5">
      <t>メイ</t>
    </rPh>
    <phoneticPr fontId="1"/>
  </si>
  <si>
    <t>格納場所</t>
    <rPh sb="0" eb="2">
      <t>カクノウ</t>
    </rPh>
    <rPh sb="2" eb="4">
      <t>バショ</t>
    </rPh>
    <phoneticPr fontId="1"/>
  </si>
  <si>
    <t>プロダクトID</t>
    <phoneticPr fontId="1"/>
  </si>
  <si>
    <t>№</t>
    <phoneticPr fontId="1"/>
  </si>
  <si>
    <t>対象</t>
    <rPh sb="0" eb="2">
      <t>タイショウ</t>
    </rPh>
    <phoneticPr fontId="1"/>
  </si>
  <si>
    <t>数式が埋まっている。消すな⇒</t>
    <rPh sb="0" eb="2">
      <t>スウシキ</t>
    </rPh>
    <rPh sb="3" eb="4">
      <t>ウ</t>
    </rPh>
    <rPh sb="10" eb="11">
      <t>ケ</t>
    </rPh>
    <phoneticPr fontId="1"/>
  </si>
  <si>
    <t>表示</t>
    <rPh sb="0" eb="2">
      <t>ヒョウジ</t>
    </rPh>
    <phoneticPr fontId="1"/>
  </si>
  <si>
    <t>KEYWORD</t>
    <phoneticPr fontId="1"/>
  </si>
  <si>
    <t>複合
条件№</t>
    <rPh sb="0" eb="2">
      <t>フクゴウ</t>
    </rPh>
    <rPh sb="3" eb="5">
      <t>ジョウケン</t>
    </rPh>
    <phoneticPr fontId="1"/>
  </si>
  <si>
    <t>.xls</t>
    <phoneticPr fontId="1"/>
  </si>
  <si>
    <t>FD_</t>
    <phoneticPr fontId="1"/>
  </si>
  <si>
    <t>FS_</t>
    <phoneticPr fontId="1"/>
  </si>
  <si>
    <t>FE_</t>
    <phoneticPr fontId="1"/>
  </si>
  <si>
    <t>FV_</t>
    <phoneticPr fontId="1"/>
  </si>
  <si>
    <t>FZ_</t>
    <phoneticPr fontId="1"/>
  </si>
  <si>
    <t>○</t>
    <phoneticPr fontId="1"/>
  </si>
  <si>
    <t>○</t>
    <phoneticPr fontId="1"/>
  </si>
  <si>
    <t>シート名</t>
    <rPh sb="3" eb="4">
      <t>メイ</t>
    </rPh>
    <phoneticPr fontId="1"/>
  </si>
  <si>
    <t>PAGE数</t>
    <rPh sb="4" eb="5">
      <t>スウ</t>
    </rPh>
    <phoneticPr fontId="1"/>
  </si>
  <si>
    <t>プロダクトID</t>
  </si>
  <si>
    <t>②仕様書ページ数計測ツール</t>
    <phoneticPr fontId="1"/>
  </si>
  <si>
    <t>PAGE換算</t>
    <rPh sb="4" eb="6">
      <t>カンサン</t>
    </rPh>
    <phoneticPr fontId="1"/>
  </si>
  <si>
    <t>行</t>
    <rPh sb="0" eb="1">
      <t>ギョウ</t>
    </rPh>
    <phoneticPr fontId="1"/>
  </si>
  <si>
    <t>印刷範囲
最終行数</t>
    <rPh sb="0" eb="2">
      <t>インサツ</t>
    </rPh>
    <rPh sb="2" eb="4">
      <t>ハンイ</t>
    </rPh>
    <rPh sb="5" eb="7">
      <t>サイシュウ</t>
    </rPh>
    <rPh sb="7" eb="9">
      <t>ギョウスウ</t>
    </rPh>
    <phoneticPr fontId="1"/>
  </si>
  <si>
    <t>複雑度</t>
    <rPh sb="0" eb="2">
      <t>フクザツ</t>
    </rPh>
    <rPh sb="2" eb="3">
      <t>ド</t>
    </rPh>
    <phoneticPr fontId="1"/>
  </si>
  <si>
    <t>変更箇所</t>
    <rPh sb="0" eb="2">
      <t>ヘンコウ</t>
    </rPh>
    <rPh sb="2" eb="4">
      <t>カショ</t>
    </rPh>
    <phoneticPr fontId="1"/>
  </si>
  <si>
    <t>日本語名</t>
    <rPh sb="0" eb="3">
      <t>ニホンゴ</t>
    </rPh>
    <rPh sb="3" eb="4">
      <t>メイ</t>
    </rPh>
    <phoneticPr fontId="1"/>
  </si>
  <si>
    <t>案件コード</t>
    <rPh sb="0" eb="2">
      <t>アンケン</t>
    </rPh>
    <phoneticPr fontId="1"/>
  </si>
  <si>
    <t>英名</t>
    <rPh sb="0" eb="2">
      <t>エイメイ</t>
    </rPh>
    <phoneticPr fontId="1"/>
  </si>
  <si>
    <t>ITEM_CD</t>
  </si>
  <si>
    <t>型</t>
    <rPh sb="0" eb="1">
      <t>カタ</t>
    </rPh>
    <phoneticPr fontId="1"/>
  </si>
  <si>
    <t>文字列</t>
  </si>
  <si>
    <t>数値</t>
  </si>
  <si>
    <t>書式</t>
    <rPh sb="0" eb="2">
      <t>ショシキ</t>
    </rPh>
    <phoneticPr fontId="1"/>
  </si>
  <si>
    <t>BMC
呼出し回数</t>
    <rPh sb="4" eb="6">
      <t>ヨビダ</t>
    </rPh>
    <rPh sb="7" eb="9">
      <t>カイスウ</t>
    </rPh>
    <phoneticPr fontId="1"/>
  </si>
  <si>
    <t>BSP
呼出し回数</t>
    <rPh sb="4" eb="6">
      <t>ヨビダ</t>
    </rPh>
    <rPh sb="7" eb="9">
      <t>カイスウ</t>
    </rPh>
    <phoneticPr fontId="1"/>
  </si>
  <si>
    <t>VER</t>
  </si>
  <si>
    <t>シート
削除</t>
    <rPh sb="4" eb="6">
      <t>サクジョ</t>
    </rPh>
    <phoneticPr fontId="1"/>
  </si>
  <si>
    <t>区分無
変更</t>
  </si>
  <si>
    <t>シート追加</t>
    <rPh sb="3" eb="5">
      <t>ツイカ</t>
    </rPh>
    <phoneticPr fontId="1"/>
  </si>
  <si>
    <t>シート修正追加行</t>
    <rPh sb="3" eb="5">
      <t>シュウセイ</t>
    </rPh>
    <rPh sb="5" eb="7">
      <t>ツイカ</t>
    </rPh>
    <rPh sb="7" eb="8">
      <t>ギョウ</t>
    </rPh>
    <phoneticPr fontId="1"/>
  </si>
  <si>
    <t>シート修正変更行</t>
    <rPh sb="3" eb="5">
      <t>シュウセイ</t>
    </rPh>
    <rPh sb="5" eb="7">
      <t>ヘンコウ</t>
    </rPh>
    <rPh sb="7" eb="8">
      <t>ギョウ</t>
    </rPh>
    <phoneticPr fontId="1"/>
  </si>
  <si>
    <t>シート修正削除行</t>
    <rPh sb="3" eb="5">
      <t>シュウセイ</t>
    </rPh>
    <rPh sb="5" eb="7">
      <t>サクジョ</t>
    </rPh>
    <rPh sb="7" eb="8">
      <t>ギョウ</t>
    </rPh>
    <phoneticPr fontId="1"/>
  </si>
  <si>
    <t>PRODUCT_ID</t>
  </si>
  <si>
    <t>TABLE名</t>
    <rPh sb="5" eb="6">
      <t>メイ</t>
    </rPh>
    <phoneticPr fontId="1"/>
  </si>
  <si>
    <t>SHEET_NM</t>
    <phoneticPr fontId="1"/>
  </si>
  <si>
    <t>PAGE_CNT</t>
    <phoneticPr fontId="1"/>
  </si>
  <si>
    <t>VERSION</t>
    <phoneticPr fontId="1"/>
  </si>
  <si>
    <t>CHANGE_POINT_COMP</t>
    <phoneticPr fontId="1"/>
  </si>
  <si>
    <t>ADD_SHEET</t>
    <phoneticPr fontId="1"/>
  </si>
  <si>
    <t>ADD_ROW</t>
    <phoneticPr fontId="1"/>
  </si>
  <si>
    <t>UPD_ROW</t>
    <phoneticPr fontId="1"/>
  </si>
  <si>
    <t>DEL_ROW</t>
    <phoneticPr fontId="1"/>
  </si>
  <si>
    <t>DEL_SHEET</t>
    <phoneticPr fontId="1"/>
  </si>
  <si>
    <t>CHANGE_POINT</t>
    <phoneticPr fontId="1"/>
  </si>
  <si>
    <t>PRINT_ROW</t>
    <phoneticPr fontId="1"/>
  </si>
  <si>
    <t>COMPLEX</t>
    <phoneticPr fontId="1"/>
  </si>
  <si>
    <t>BMC_CALL_CNT</t>
    <phoneticPr fontId="1"/>
  </si>
  <si>
    <t>BSP_CALL_CNT</t>
    <phoneticPr fontId="1"/>
  </si>
  <si>
    <t>00000</t>
    <phoneticPr fontId="1"/>
  </si>
  <si>
    <t>案件</t>
    <rPh sb="0" eb="2">
      <t>アンケン</t>
    </rPh>
    <phoneticPr fontId="1"/>
  </si>
  <si>
    <t>■案件コード■</t>
    <phoneticPr fontId="1"/>
  </si>
  <si>
    <t>VOLUME_INFO_PLAN</t>
    <phoneticPr fontId="1"/>
  </si>
  <si>
    <t>BMC・BSP
区分</t>
    <rPh sb="8" eb="10">
      <t>クブン</t>
    </rPh>
    <phoneticPr fontId="1"/>
  </si>
  <si>
    <t>呼出し情報</t>
    <rPh sb="0" eb="2">
      <t>ヨビダ</t>
    </rPh>
    <rPh sb="3" eb="5">
      <t>ジョウホウ</t>
    </rPh>
    <phoneticPr fontId="1"/>
  </si>
  <si>
    <t>BMC_BSP_KBN</t>
    <phoneticPr fontId="1"/>
  </si>
  <si>
    <t>BEAN_NM</t>
    <phoneticPr fontId="1"/>
  </si>
  <si>
    <t>深度1</t>
    <rPh sb="0" eb="2">
      <t>シンド</t>
    </rPh>
    <phoneticPr fontId="1"/>
  </si>
  <si>
    <t>深度2</t>
    <rPh sb="0" eb="2">
      <t>シンド</t>
    </rPh>
    <phoneticPr fontId="1"/>
  </si>
  <si>
    <t>深度3</t>
    <rPh sb="0" eb="2">
      <t>シンド</t>
    </rPh>
    <phoneticPr fontId="1"/>
  </si>
  <si>
    <t>深度4</t>
    <rPh sb="0" eb="2">
      <t>シンド</t>
    </rPh>
    <phoneticPr fontId="1"/>
  </si>
  <si>
    <t>深度5</t>
    <rPh sb="0" eb="2">
      <t>シンド</t>
    </rPh>
    <phoneticPr fontId="1"/>
  </si>
  <si>
    <t>深度6</t>
    <rPh sb="0" eb="2">
      <t>シンド</t>
    </rPh>
    <phoneticPr fontId="1"/>
  </si>
  <si>
    <t>深度7</t>
    <rPh sb="0" eb="2">
      <t>シンド</t>
    </rPh>
    <phoneticPr fontId="1"/>
  </si>
  <si>
    <t>深度8</t>
    <rPh sb="0" eb="2">
      <t>シンド</t>
    </rPh>
    <phoneticPr fontId="1"/>
  </si>
  <si>
    <t>深度9+</t>
    <rPh sb="0" eb="2">
      <t>シンド</t>
    </rPh>
    <phoneticPr fontId="1"/>
  </si>
  <si>
    <t>DEPTH_1</t>
    <phoneticPr fontId="1"/>
  </si>
  <si>
    <t>DEPTH_2</t>
  </si>
  <si>
    <t>DEPTH_3</t>
  </si>
  <si>
    <t>DEPTH_4</t>
  </si>
  <si>
    <t>DEPTH_5</t>
  </si>
  <si>
    <t>DEPTH_6</t>
  </si>
  <si>
    <t>DEPTH_7</t>
  </si>
  <si>
    <t>DEPTH_8</t>
  </si>
  <si>
    <t>DEPTH_9</t>
  </si>
  <si>
    <t>V_I_PLAN_BEAN</t>
    <phoneticPr fontId="1"/>
  </si>
  <si>
    <t>OBJECT_FILE_NM</t>
    <phoneticPr fontId="1"/>
  </si>
  <si>
    <t>DG_</t>
    <phoneticPr fontId="1"/>
  </si>
  <si>
    <t>DB接続先</t>
    <rPh sb="2" eb="4">
      <t>セツゾク</t>
    </rPh>
    <rPh sb="4" eb="5">
      <t>サキ</t>
    </rPh>
    <phoneticPr fontId="1"/>
  </si>
  <si>
    <t>1：品質管理専用(SCHM_C200)</t>
    <rPh sb="2" eb="4">
      <t>ヒンシツ</t>
    </rPh>
    <rPh sb="4" eb="6">
      <t>カンリ</t>
    </rPh>
    <rPh sb="6" eb="8">
      <t>センヨウ</t>
    </rPh>
    <phoneticPr fontId="1"/>
  </si>
  <si>
    <t>2：アプリ開放用(SCHM_C002)</t>
    <rPh sb="5" eb="7">
      <t>カイホウ</t>
    </rPh>
    <rPh sb="7" eb="8">
      <t>ヨウ</t>
    </rPh>
    <phoneticPr fontId="1"/>
  </si>
  <si>
    <t>3：ローカル</t>
    <phoneticPr fontId="1"/>
  </si>
  <si>
    <t>Provider=OraOLEDB.Oracle;Data Source=localhost:1521/xe;User ID=M16135H;Password=wasabi2;</t>
    <phoneticPr fontId="1"/>
  </si>
  <si>
    <t>OBJECT_FILE_NM</t>
    <phoneticPr fontId="1"/>
  </si>
  <si>
    <t>FD</t>
  </si>
  <si>
    <t>FS</t>
  </si>
  <si>
    <t>FE</t>
  </si>
  <si>
    <t>FV</t>
  </si>
  <si>
    <t>FZ</t>
  </si>
  <si>
    <t>仕様書区分</t>
    <rPh sb="0" eb="3">
      <t>シヨウショ</t>
    </rPh>
    <rPh sb="3" eb="5">
      <t>クブン</t>
    </rPh>
    <phoneticPr fontId="1"/>
  </si>
  <si>
    <t>画面数</t>
    <rPh sb="0" eb="2">
      <t>ガメン</t>
    </rPh>
    <rPh sb="2" eb="3">
      <t>スウ</t>
    </rPh>
    <phoneticPr fontId="1"/>
  </si>
  <si>
    <t>シート修正
追加行</t>
    <rPh sb="3" eb="5">
      <t>シュウセイ</t>
    </rPh>
    <rPh sb="6" eb="8">
      <t>ツイカ</t>
    </rPh>
    <rPh sb="8" eb="9">
      <t>ギョウ</t>
    </rPh>
    <phoneticPr fontId="1"/>
  </si>
  <si>
    <t>シート修正
変更行</t>
    <rPh sb="3" eb="5">
      <t>シュウセイ</t>
    </rPh>
    <rPh sb="6" eb="8">
      <t>ヘンコウ</t>
    </rPh>
    <rPh sb="8" eb="9">
      <t>ギョウ</t>
    </rPh>
    <phoneticPr fontId="1"/>
  </si>
  <si>
    <t>シート修正
削除行</t>
    <rPh sb="3" eb="5">
      <t>シュウセイ</t>
    </rPh>
    <rPh sb="6" eb="8">
      <t>サクジョ</t>
    </rPh>
    <rPh sb="8" eb="9">
      <t>ギョウ</t>
    </rPh>
    <phoneticPr fontId="1"/>
  </si>
  <si>
    <t>BMC呼出
回数</t>
    <rPh sb="3" eb="5">
      <t>ヨビダ</t>
    </rPh>
    <rPh sb="6" eb="8">
      <t>カイスウ</t>
    </rPh>
    <phoneticPr fontId="1"/>
  </si>
  <si>
    <t>BSP呼出
回数</t>
    <rPh sb="3" eb="5">
      <t>ヨビダ</t>
    </rPh>
    <rPh sb="6" eb="8">
      <t>カイスウ</t>
    </rPh>
    <phoneticPr fontId="1"/>
  </si>
  <si>
    <t>難易度係数</t>
    <rPh sb="0" eb="3">
      <t>ナンイド</t>
    </rPh>
    <rPh sb="3" eb="5">
      <t>ケイスウ</t>
    </rPh>
    <phoneticPr fontId="12"/>
  </si>
  <si>
    <t>仕様書係数換算</t>
    <rPh sb="0" eb="3">
      <t>シヨウショ</t>
    </rPh>
    <rPh sb="3" eb="5">
      <t>ケイスウ</t>
    </rPh>
    <rPh sb="5" eb="7">
      <t>カンサン</t>
    </rPh>
    <phoneticPr fontId="12"/>
  </si>
  <si>
    <t>実装見積工数</t>
    <rPh sb="0" eb="2">
      <t>ジッソウ</t>
    </rPh>
    <rPh sb="2" eb="4">
      <t>ミツモリ</t>
    </rPh>
    <rPh sb="4" eb="6">
      <t>コウスウ</t>
    </rPh>
    <phoneticPr fontId="12"/>
  </si>
  <si>
    <t>テスト
作業時間</t>
    <rPh sb="4" eb="6">
      <t>サギョウ</t>
    </rPh>
    <rPh sb="6" eb="8">
      <t>ジカン</t>
    </rPh>
    <phoneticPr fontId="1"/>
  </si>
  <si>
    <t>テスト仕様書
作成</t>
    <rPh sb="3" eb="6">
      <t>シヨウショ</t>
    </rPh>
    <rPh sb="7" eb="9">
      <t>サクセイ</t>
    </rPh>
    <phoneticPr fontId="1"/>
  </si>
  <si>
    <t>テスト見積工数</t>
    <rPh sb="3" eb="5">
      <t>ミツモリ</t>
    </rPh>
    <rPh sb="5" eb="7">
      <t>コウスウ</t>
    </rPh>
    <phoneticPr fontId="1"/>
  </si>
  <si>
    <t>手動テスト工数</t>
    <rPh sb="0" eb="2">
      <t>シュドウ</t>
    </rPh>
    <rPh sb="5" eb="7">
      <t>コウスウ</t>
    </rPh>
    <phoneticPr fontId="1"/>
  </si>
  <si>
    <t>変更率</t>
    <rPh sb="0" eb="2">
      <t>ヘンコウ</t>
    </rPh>
    <rPh sb="2" eb="3">
      <t>リツ</t>
    </rPh>
    <phoneticPr fontId="1"/>
  </si>
  <si>
    <t>見積総工数</t>
    <rPh sb="0" eb="2">
      <t>ミツモリ</t>
    </rPh>
    <rPh sb="2" eb="3">
      <t>ソウ</t>
    </rPh>
    <rPh sb="3" eb="5">
      <t>コウスウ</t>
    </rPh>
    <phoneticPr fontId="1"/>
  </si>
  <si>
    <t>シート追加
CREATE</t>
    <rPh sb="3" eb="5">
      <t>ツイカ</t>
    </rPh>
    <phoneticPr fontId="1"/>
  </si>
  <si>
    <t>シート修正
ADD行</t>
    <rPh sb="3" eb="5">
      <t>シュウセイ</t>
    </rPh>
    <rPh sb="9" eb="10">
      <t>ギョウ</t>
    </rPh>
    <phoneticPr fontId="1"/>
  </si>
  <si>
    <t>シート修正
UPD行</t>
    <rPh sb="3" eb="5">
      <t>シュウセイ</t>
    </rPh>
    <rPh sb="9" eb="10">
      <t>ギョウ</t>
    </rPh>
    <phoneticPr fontId="1"/>
  </si>
  <si>
    <t>シート修正
DEL行</t>
    <rPh sb="3" eb="5">
      <t>シュウセイ</t>
    </rPh>
    <rPh sb="9" eb="10">
      <t>ギョウ</t>
    </rPh>
    <phoneticPr fontId="1"/>
  </si>
  <si>
    <t>シート削除
DROP</t>
    <rPh sb="3" eb="5">
      <t>サクジョ</t>
    </rPh>
    <phoneticPr fontId="1"/>
  </si>
  <si>
    <t>FD
複雑度</t>
    <rPh sb="3" eb="5">
      <t>フクザツ</t>
    </rPh>
    <rPh sb="5" eb="6">
      <t>ド</t>
    </rPh>
    <phoneticPr fontId="1"/>
  </si>
  <si>
    <t>FD
頁数</t>
    <rPh sb="3" eb="4">
      <t>ページ</t>
    </rPh>
    <rPh sb="4" eb="5">
      <t>スウ</t>
    </rPh>
    <phoneticPr fontId="1"/>
  </si>
  <si>
    <t>FS
複雑度</t>
    <rPh sb="3" eb="5">
      <t>フクザツ</t>
    </rPh>
    <rPh sb="5" eb="6">
      <t>ド</t>
    </rPh>
    <phoneticPr fontId="1"/>
  </si>
  <si>
    <t>FS
頁数</t>
    <rPh sb="3" eb="4">
      <t>ページ</t>
    </rPh>
    <rPh sb="4" eb="5">
      <t>スウ</t>
    </rPh>
    <phoneticPr fontId="1"/>
  </si>
  <si>
    <t>FS
画面数</t>
    <rPh sb="3" eb="5">
      <t>ガメン</t>
    </rPh>
    <rPh sb="5" eb="6">
      <t>スウ</t>
    </rPh>
    <phoneticPr fontId="1"/>
  </si>
  <si>
    <t>FE
複雑度</t>
    <rPh sb="3" eb="5">
      <t>フクザツ</t>
    </rPh>
    <rPh sb="5" eb="6">
      <t>ド</t>
    </rPh>
    <phoneticPr fontId="1"/>
  </si>
  <si>
    <t>FE
頁数</t>
    <rPh sb="3" eb="4">
      <t>ページ</t>
    </rPh>
    <rPh sb="4" eb="5">
      <t>スウ</t>
    </rPh>
    <phoneticPr fontId="1"/>
  </si>
  <si>
    <t>FV
複雑度</t>
    <rPh sb="3" eb="5">
      <t>フクザツ</t>
    </rPh>
    <rPh sb="5" eb="6">
      <t>ド</t>
    </rPh>
    <phoneticPr fontId="1"/>
  </si>
  <si>
    <t>FV
頁数</t>
    <rPh sb="3" eb="4">
      <t>ページ</t>
    </rPh>
    <rPh sb="4" eb="5">
      <t>スウ</t>
    </rPh>
    <phoneticPr fontId="1"/>
  </si>
  <si>
    <t>FV
画面数</t>
    <rPh sb="3" eb="5">
      <t>ガメン</t>
    </rPh>
    <rPh sb="5" eb="6">
      <t>スウ</t>
    </rPh>
    <phoneticPr fontId="1"/>
  </si>
  <si>
    <t>FZ
複雑度</t>
    <rPh sb="3" eb="5">
      <t>フクザツ</t>
    </rPh>
    <rPh sb="5" eb="6">
      <t>ド</t>
    </rPh>
    <phoneticPr fontId="1"/>
  </si>
  <si>
    <t>FZ
頁数</t>
    <rPh sb="3" eb="4">
      <t>ページ</t>
    </rPh>
    <rPh sb="4" eb="5">
      <t>スウ</t>
    </rPh>
    <phoneticPr fontId="1"/>
  </si>
  <si>
    <t>見積総工数
（実装）</t>
    <rPh sb="0" eb="2">
      <t>ミツモリ</t>
    </rPh>
    <rPh sb="2" eb="3">
      <t>ソウ</t>
    </rPh>
    <rPh sb="3" eb="5">
      <t>コウスウ</t>
    </rPh>
    <rPh sb="7" eb="9">
      <t>ジッソウ</t>
    </rPh>
    <phoneticPr fontId="1"/>
  </si>
  <si>
    <t>見積総工数
（テスト）</t>
    <rPh sb="0" eb="2">
      <t>ミツモリ</t>
    </rPh>
    <rPh sb="2" eb="3">
      <t>ソウ</t>
    </rPh>
    <rPh sb="3" eb="5">
      <t>コウスウ</t>
    </rPh>
    <phoneticPr fontId="1"/>
  </si>
  <si>
    <t>見積総工数
（新規ベース）</t>
    <rPh sb="0" eb="2">
      <t>ミツモリ</t>
    </rPh>
    <rPh sb="2" eb="3">
      <t>ソウ</t>
    </rPh>
    <rPh sb="3" eb="5">
      <t>コウスウ</t>
    </rPh>
    <rPh sb="7" eb="9">
      <t>シンキ</t>
    </rPh>
    <phoneticPr fontId="1"/>
  </si>
  <si>
    <t>見積総工数
(変更率反映)</t>
    <rPh sb="0" eb="2">
      <t>ミツモリ</t>
    </rPh>
    <rPh sb="2" eb="3">
      <t>ソウ</t>
    </rPh>
    <rPh sb="3" eb="5">
      <t>コウスウ</t>
    </rPh>
    <rPh sb="7" eb="9">
      <t>ヘンコウ</t>
    </rPh>
    <rPh sb="9" eb="10">
      <t>リツ</t>
    </rPh>
    <rPh sb="10" eb="12">
      <t>ハンエイ</t>
    </rPh>
    <phoneticPr fontId="1"/>
  </si>
  <si>
    <t>記述行数</t>
    <rPh sb="0" eb="2">
      <t>キジュツ</t>
    </rPh>
    <rPh sb="2" eb="4">
      <t>ギョウスウ</t>
    </rPh>
    <phoneticPr fontId="1"/>
  </si>
  <si>
    <t>変更行数</t>
    <rPh sb="0" eb="2">
      <t>ヘンコウ</t>
    </rPh>
    <rPh sb="2" eb="4">
      <t>ギョウスウ</t>
    </rPh>
    <phoneticPr fontId="1"/>
  </si>
  <si>
    <t>FD_～.xls：機能記述書</t>
    <phoneticPr fontId="1"/>
  </si>
  <si>
    <t>FS_～.xls：画面仕様書</t>
    <phoneticPr fontId="1"/>
  </si>
  <si>
    <t>FE_～.xls：項目編集仕様書</t>
    <phoneticPr fontId="1"/>
  </si>
  <si>
    <t>FV_～.xls：エラーチェック仕様書</t>
    <phoneticPr fontId="1"/>
  </si>
  <si>
    <t>FZ_～.xls：補足設計書</t>
    <phoneticPr fontId="1"/>
  </si>
  <si>
    <t>日付</t>
    <rPh sb="0" eb="2">
      <t>ヒヅケ</t>
    </rPh>
    <phoneticPr fontId="1"/>
  </si>
  <si>
    <t>担当者</t>
    <rPh sb="0" eb="3">
      <t>タントウシャ</t>
    </rPh>
    <phoneticPr fontId="1"/>
  </si>
  <si>
    <t>内容</t>
    <rPh sb="0" eb="2">
      <t>ナイヨウ</t>
    </rPh>
    <phoneticPr fontId="1"/>
  </si>
  <si>
    <t>KSC澤</t>
    <rPh sb="3" eb="4">
      <t>サワ</t>
    </rPh>
    <phoneticPr fontId="1"/>
  </si>
  <si>
    <t>Ver1.1</t>
    <phoneticPr fontId="1"/>
  </si>
  <si>
    <r>
      <t xml:space="preserve">頁数の計測を印刷範囲から記述行数÷40行の換算に変更
</t>
    </r>
    <r>
      <rPr>
        <sz val="11"/>
        <color rgb="FFFF0000"/>
        <rFont val="ＭＳ Ｐゴシック"/>
        <family val="3"/>
        <charset val="128"/>
      </rPr>
      <t>※印刷プレビューが曖昧なケースを回避する為に変更</t>
    </r>
    <rPh sb="0" eb="1">
      <t>ページ</t>
    </rPh>
    <rPh sb="1" eb="2">
      <t>スウ</t>
    </rPh>
    <rPh sb="3" eb="5">
      <t>ケイソク</t>
    </rPh>
    <rPh sb="6" eb="8">
      <t>インサツ</t>
    </rPh>
    <rPh sb="8" eb="10">
      <t>ハンイ</t>
    </rPh>
    <rPh sb="12" eb="14">
      <t>キジュツ</t>
    </rPh>
    <rPh sb="14" eb="16">
      <t>ギョウスウ</t>
    </rPh>
    <rPh sb="19" eb="20">
      <t>ギョウ</t>
    </rPh>
    <rPh sb="21" eb="23">
      <t>カンサン</t>
    </rPh>
    <rPh sb="24" eb="26">
      <t>ヘンコウ</t>
    </rPh>
    <rPh sb="28" eb="30">
      <t>インサツ</t>
    </rPh>
    <rPh sb="36" eb="38">
      <t>アイマイ</t>
    </rPh>
    <rPh sb="43" eb="45">
      <t>カイヒ</t>
    </rPh>
    <rPh sb="47" eb="48">
      <t>タメ</t>
    </rPh>
    <rPh sb="49" eb="51">
      <t>ヘンコウ</t>
    </rPh>
    <phoneticPr fontId="1"/>
  </si>
  <si>
    <t>①アドインの取得</t>
    <rPh sb="6" eb="8">
      <t>シュトク</t>
    </rPh>
    <phoneticPr fontId="1"/>
  </si>
  <si>
    <t>https://m6svn01/svn/public/spirits/00.ガイド＋標準類/C0.管理資料/02.品質管理/12.ツール/8.EXCELアドイン</t>
    <phoneticPr fontId="1"/>
  </si>
  <si>
    <t>macro_estimate.xlam</t>
    <phoneticPr fontId="1"/>
  </si>
  <si>
    <t>②アドインの格納</t>
    <rPh sb="6" eb="8">
      <t>カクノウ</t>
    </rPh>
    <phoneticPr fontId="1"/>
  </si>
  <si>
    <r>
      <t>C:\Documents and Settings\</t>
    </r>
    <r>
      <rPr>
        <sz val="11"/>
        <color rgb="FFFF0000"/>
        <rFont val="ＭＳ Ｐゴシック"/>
        <family val="3"/>
        <charset val="128"/>
      </rPr>
      <t>[ユーザー]</t>
    </r>
    <r>
      <rPr>
        <sz val="11"/>
        <rFont val="ＭＳ Ｐゴシック"/>
        <family val="3"/>
        <charset val="128"/>
      </rPr>
      <t>\Application Data\Microsoft\AddIns</t>
    </r>
    <phoneticPr fontId="1"/>
  </si>
  <si>
    <t>上記はEXCELでアドインの格納先で設定されています。</t>
    <rPh sb="0" eb="2">
      <t>ジョウキ</t>
    </rPh>
    <rPh sb="14" eb="16">
      <t>カクノウ</t>
    </rPh>
    <rPh sb="16" eb="17">
      <t>サキ</t>
    </rPh>
    <rPh sb="18" eb="20">
      <t>セッテイ</t>
    </rPh>
    <phoneticPr fontId="1"/>
  </si>
  <si>
    <t>③EXCELのアドイン指定</t>
    <rPh sb="11" eb="13">
      <t>シテイ</t>
    </rPh>
    <phoneticPr fontId="1"/>
  </si>
  <si>
    <t>「EXCELのオプション」を押下してください</t>
    <rPh sb="14" eb="16">
      <t>オウカ</t>
    </rPh>
    <phoneticPr fontId="1"/>
  </si>
  <si>
    <t>「アドイン」を押下してください</t>
    <rPh sb="7" eb="9">
      <t>オウカ</t>
    </rPh>
    <phoneticPr fontId="1"/>
  </si>
  <si>
    <t>アクティブでないアプリケーションアドインに表示されている「Macro_Estimate.xlam」をアクティブなアプリケーションアドインに</t>
    <rPh sb="21" eb="23">
      <t>ヒョウジ</t>
    </rPh>
    <phoneticPr fontId="1"/>
  </si>
  <si>
    <t>変更してください</t>
    <rPh sb="0" eb="2">
      <t>ヘンコウ</t>
    </rPh>
    <phoneticPr fontId="1"/>
  </si>
  <si>
    <t>ファイルOPEN時
「選択肢」シートの案件コード取得時のスキーマを「SCHM_C200」に固定</t>
    <rPh sb="8" eb="9">
      <t>ジ</t>
    </rPh>
    <rPh sb="11" eb="14">
      <t>センタクシ</t>
    </rPh>
    <rPh sb="19" eb="21">
      <t>アンケン</t>
    </rPh>
    <rPh sb="24" eb="26">
      <t>シュトク</t>
    </rPh>
    <rPh sb="26" eb="27">
      <t>ジ</t>
    </rPh>
    <rPh sb="45" eb="47">
      <t>コテイ</t>
    </rPh>
    <phoneticPr fontId="1"/>
  </si>
  <si>
    <t>※「案件コード」のコンボボックスは「1：品質管理専用(SCHM_C200)」のDBから取得しております。</t>
    <rPh sb="2" eb="4">
      <t>アンケン</t>
    </rPh>
    <rPh sb="43" eb="45">
      <t>シュトク</t>
    </rPh>
    <phoneticPr fontId="1"/>
  </si>
  <si>
    <t>　「2：アプリ開放用(SCHM_C002)」「3：ローカル」に登録されている案件コードは表示されませんので手入力してください</t>
    <rPh sb="31" eb="33">
      <t>トウロク</t>
    </rPh>
    <rPh sb="38" eb="40">
      <t>アンケン</t>
    </rPh>
    <rPh sb="44" eb="46">
      <t>ヒョウジ</t>
    </rPh>
    <rPh sb="53" eb="54">
      <t>テ</t>
    </rPh>
    <rPh sb="54" eb="56">
      <t>ニュウリョク</t>
    </rPh>
    <phoneticPr fontId="1"/>
  </si>
  <si>
    <t>①計測準備をしてください</t>
    <rPh sb="1" eb="3">
      <t>ケイソク</t>
    </rPh>
    <rPh sb="3" eb="5">
      <t>ジュンビ</t>
    </rPh>
    <phoneticPr fontId="1"/>
  </si>
  <si>
    <t>②計測をしてください</t>
    <rPh sb="1" eb="3">
      <t>ケイソク</t>
    </rPh>
    <phoneticPr fontId="1"/>
  </si>
  <si>
    <t>③計測結果をDB登録をしてください</t>
    <rPh sb="1" eb="3">
      <t>ケイソク</t>
    </rPh>
    <rPh sb="3" eb="5">
      <t>ケッカ</t>
    </rPh>
    <rPh sb="8" eb="10">
      <t>トウロク</t>
    </rPh>
    <phoneticPr fontId="1"/>
  </si>
  <si>
    <t>　※品質管理用スキーマ「1：品質管理専用(SCHM_C200)」とアプリ開放用スキーマ「2：アプリ開放用(SCHM_C002)」を必ず確認してください。</t>
    <rPh sb="65" eb="66">
      <t>カナラ</t>
    </rPh>
    <rPh sb="67" eb="69">
      <t>カクニン</t>
    </rPh>
    <phoneticPr fontId="1"/>
  </si>
  <si>
    <t>④DB登録した計測結果から見積準備してください</t>
    <rPh sb="7" eb="9">
      <t>ケイソク</t>
    </rPh>
    <rPh sb="9" eb="11">
      <t>ケッカ</t>
    </rPh>
    <rPh sb="13" eb="15">
      <t>ミツモリ</t>
    </rPh>
    <rPh sb="15" eb="17">
      <t>ジュンビ</t>
    </rPh>
    <phoneticPr fontId="1"/>
  </si>
  <si>
    <t>指定された「DB接続先」から案件コードを取得します</t>
    <rPh sb="0" eb="2">
      <t>シテイ</t>
    </rPh>
    <rPh sb="8" eb="10">
      <t>セツゾク</t>
    </rPh>
    <rPh sb="10" eb="11">
      <t>サキ</t>
    </rPh>
    <rPh sb="14" eb="16">
      <t>アンケン</t>
    </rPh>
    <rPh sb="20" eb="22">
      <t>シュトク</t>
    </rPh>
    <phoneticPr fontId="1"/>
  </si>
  <si>
    <t>④見積対象をさらに「プロダクトID」で絞り込んでください</t>
    <rPh sb="1" eb="3">
      <t>ミツモリ</t>
    </rPh>
    <rPh sb="3" eb="5">
      <t>タイショウ</t>
    </rPh>
    <rPh sb="19" eb="20">
      <t>シボ</t>
    </rPh>
    <rPh sb="21" eb="22">
      <t>コ</t>
    </rPh>
    <phoneticPr fontId="1"/>
  </si>
  <si>
    <t>④見積対象を「案件コード」で絞り込んでください</t>
    <rPh sb="1" eb="3">
      <t>ミツモリ</t>
    </rPh>
    <rPh sb="3" eb="5">
      <t>タイショウ</t>
    </rPh>
    <rPh sb="7" eb="9">
      <t>アンケン</t>
    </rPh>
    <rPh sb="14" eb="15">
      <t>シボ</t>
    </rPh>
    <rPh sb="16" eb="17">
      <t>コ</t>
    </rPh>
    <phoneticPr fontId="1"/>
  </si>
  <si>
    <t>指定された「DB接続先」から計測登録されたプロダクトIDを取得します</t>
    <rPh sb="0" eb="2">
      <t>シテイ</t>
    </rPh>
    <rPh sb="8" eb="10">
      <t>セツゾク</t>
    </rPh>
    <rPh sb="10" eb="11">
      <t>サキ</t>
    </rPh>
    <rPh sb="14" eb="16">
      <t>ケイソク</t>
    </rPh>
    <rPh sb="16" eb="18">
      <t>トウロク</t>
    </rPh>
    <rPh sb="29" eb="31">
      <t>シュトク</t>
    </rPh>
    <phoneticPr fontId="1"/>
  </si>
  <si>
    <t>案件の黄色の網掛け部分に転記されます。</t>
    <rPh sb="0" eb="2">
      <t>アンケン</t>
    </rPh>
    <rPh sb="3" eb="5">
      <t>キイロ</t>
    </rPh>
    <rPh sb="6" eb="8">
      <t>アミカ</t>
    </rPh>
    <rPh sb="9" eb="11">
      <t>ブブン</t>
    </rPh>
    <rPh sb="12" eb="14">
      <t>テンキ</t>
    </rPh>
    <phoneticPr fontId="1"/>
  </si>
  <si>
    <t>プロダクトIDを「設定」ボタンを押下して、プロダクトIDの黄色の網掛け部分に設定すると限定したプロダクトIDのみ出力されます。</t>
    <rPh sb="9" eb="11">
      <t>セッテイ</t>
    </rPh>
    <rPh sb="16" eb="18">
      <t>オウカ</t>
    </rPh>
    <rPh sb="38" eb="40">
      <t>セッテイ</t>
    </rPh>
    <rPh sb="43" eb="45">
      <t>ゲンテイ</t>
    </rPh>
    <rPh sb="56" eb="58">
      <t>シュツリョク</t>
    </rPh>
    <phoneticPr fontId="1"/>
  </si>
  <si>
    <t>プロダクトIDの黄色の網掛け部分を空にすると案件で登録された全てのプロダクトIDが出力されます。</t>
    <rPh sb="17" eb="18">
      <t>カラ</t>
    </rPh>
    <rPh sb="22" eb="24">
      <t>アンケン</t>
    </rPh>
    <rPh sb="25" eb="27">
      <t>トウロク</t>
    </rPh>
    <rPh sb="30" eb="31">
      <t>スベ</t>
    </rPh>
    <rPh sb="41" eb="43">
      <t>シュツリョク</t>
    </rPh>
    <phoneticPr fontId="1"/>
  </si>
  <si>
    <t>④見積結果の見方</t>
    <rPh sb="1" eb="3">
      <t>ミツモリ</t>
    </rPh>
    <rPh sb="3" eb="5">
      <t>ケッカ</t>
    </rPh>
    <rPh sb="6" eb="8">
      <t>ミカタ</t>
    </rPh>
    <phoneticPr fontId="1"/>
  </si>
  <si>
    <t>　変更率が求められず「見積総工数（変更率反映）」が　0　と表示されるケースがあります。</t>
    <rPh sb="1" eb="3">
      <t>ヘンコウ</t>
    </rPh>
    <rPh sb="3" eb="4">
      <t>リツ</t>
    </rPh>
    <rPh sb="5" eb="6">
      <t>モト</t>
    </rPh>
    <rPh sb="29" eb="31">
      <t>ヒョウジ</t>
    </rPh>
    <phoneticPr fontId="1"/>
  </si>
  <si>
    <r>
      <t>計測対象の上流成果物の準備ができましたら</t>
    </r>
    <r>
      <rPr>
        <sz val="11"/>
        <color rgb="FF0000FF"/>
        <rFont val="ＭＳ ゴシック"/>
        <family val="3"/>
        <charset val="128"/>
      </rPr>
      <t>「設定(計測・登録)」シート</t>
    </r>
    <r>
      <rPr>
        <sz val="11"/>
        <rFont val="ＭＳ ゴシック"/>
        <family val="3"/>
        <charset val="128"/>
      </rPr>
      <t>を選択いただき「案件」「格納場所」を選択、記載してください</t>
    </r>
    <rPh sb="0" eb="2">
      <t>ケイソク</t>
    </rPh>
    <rPh sb="2" eb="4">
      <t>タイショウ</t>
    </rPh>
    <rPh sb="5" eb="7">
      <t>ジョウリュウ</t>
    </rPh>
    <rPh sb="7" eb="10">
      <t>セイカブツ</t>
    </rPh>
    <rPh sb="11" eb="13">
      <t>ジュンビ</t>
    </rPh>
    <rPh sb="35" eb="37">
      <t>センタク</t>
    </rPh>
    <rPh sb="42" eb="44">
      <t>アンケン</t>
    </rPh>
    <rPh sb="46" eb="48">
      <t>カクノウ</t>
    </rPh>
    <rPh sb="48" eb="50">
      <t>バショ</t>
    </rPh>
    <rPh sb="52" eb="54">
      <t>センタク</t>
    </rPh>
    <rPh sb="55" eb="57">
      <t>キサイ</t>
    </rPh>
    <phoneticPr fontId="1"/>
  </si>
  <si>
    <r>
      <rPr>
        <sz val="11"/>
        <color rgb="FF0000FF"/>
        <rFont val="ＭＳ ゴシック"/>
        <family val="3"/>
        <charset val="128"/>
      </rPr>
      <t>「設定(計測・登録)」シート</t>
    </r>
    <r>
      <rPr>
        <sz val="11"/>
        <rFont val="ＭＳ ゴシック"/>
        <family val="3"/>
        <charset val="128"/>
      </rPr>
      <t>の「③PAGE数計測　PAGE数＆変更箇所　Cyclomatic＝"ON"」ボタンを押下してください</t>
    </r>
    <rPh sb="21" eb="22">
      <t>スウ</t>
    </rPh>
    <rPh sb="22" eb="24">
      <t>ケイソク</t>
    </rPh>
    <rPh sb="29" eb="30">
      <t>スウ</t>
    </rPh>
    <rPh sb="31" eb="33">
      <t>ヘンコウ</t>
    </rPh>
    <rPh sb="33" eb="35">
      <t>カショ</t>
    </rPh>
    <rPh sb="56" eb="58">
      <t>オウカ</t>
    </rPh>
    <phoneticPr fontId="1"/>
  </si>
  <si>
    <r>
      <rPr>
        <sz val="11"/>
        <color rgb="FF0000FF"/>
        <rFont val="ＭＳ ゴシック"/>
        <family val="3"/>
        <charset val="128"/>
      </rPr>
      <t>「結果」「結果（BMC・BSP）」シート</t>
    </r>
    <r>
      <rPr>
        <sz val="11"/>
        <rFont val="ＭＳ ゴシック"/>
        <family val="3"/>
        <charset val="128"/>
      </rPr>
      <t>に計測結果が出力されます</t>
    </r>
    <rPh sb="21" eb="23">
      <t>ケイソク</t>
    </rPh>
    <rPh sb="23" eb="25">
      <t>ケッカ</t>
    </rPh>
    <rPh sb="26" eb="28">
      <t>シュツリョク</t>
    </rPh>
    <phoneticPr fontId="1"/>
  </si>
  <si>
    <r>
      <rPr>
        <sz val="11"/>
        <color rgb="FF0000FF"/>
        <rFont val="ＭＳ ゴシック"/>
        <family val="3"/>
        <charset val="128"/>
      </rPr>
      <t>「結果」シート</t>
    </r>
    <r>
      <rPr>
        <sz val="11"/>
        <rFont val="ＭＳ ゴシック"/>
        <family val="3"/>
        <charset val="128"/>
      </rPr>
      <t>のDB接続先を確認して「DB登録」ボタンを押下してください</t>
    </r>
    <rPh sb="21" eb="23">
      <t>トウロク</t>
    </rPh>
    <phoneticPr fontId="1"/>
  </si>
  <si>
    <r>
      <rPr>
        <sz val="11"/>
        <color rgb="FF0000FF"/>
        <rFont val="ＭＳ ゴシック"/>
        <family val="3"/>
        <charset val="128"/>
      </rPr>
      <t>「設定(検索・見積)」シート</t>
    </r>
    <r>
      <rPr>
        <sz val="11"/>
        <rFont val="ＭＳ ゴシック"/>
        <family val="3"/>
        <charset val="128"/>
      </rPr>
      <t>のDB接続先を確認して案件配下の「検索」ボタンを押下してください</t>
    </r>
    <rPh sb="25" eb="27">
      <t>アンケン</t>
    </rPh>
    <rPh sb="27" eb="29">
      <t>ハイカ</t>
    </rPh>
    <rPh sb="31" eb="33">
      <t>ケンサク</t>
    </rPh>
    <phoneticPr fontId="1"/>
  </si>
  <si>
    <r>
      <rPr>
        <sz val="11"/>
        <color rgb="FF0000FF"/>
        <rFont val="ＭＳ ゴシック"/>
        <family val="3"/>
        <charset val="128"/>
      </rPr>
      <t>「設定(検索・見積)」シート</t>
    </r>
    <r>
      <rPr>
        <sz val="11"/>
        <rFont val="ＭＳ ゴシック"/>
        <family val="3"/>
        <charset val="128"/>
      </rPr>
      <t>の案件配下の案件で選択したい案件コードにフォーカスを置いて「設定」ボタンを押下してください</t>
    </r>
    <rPh sb="15" eb="17">
      <t>アンケン</t>
    </rPh>
    <rPh sb="17" eb="19">
      <t>ハイカ</t>
    </rPh>
    <rPh sb="20" eb="22">
      <t>アンケン</t>
    </rPh>
    <rPh sb="23" eb="25">
      <t>センタク</t>
    </rPh>
    <rPh sb="28" eb="30">
      <t>アンケン</t>
    </rPh>
    <rPh sb="40" eb="41">
      <t>オ</t>
    </rPh>
    <rPh sb="44" eb="46">
      <t>セッテイ</t>
    </rPh>
    <phoneticPr fontId="1"/>
  </si>
  <si>
    <r>
      <rPr>
        <sz val="11"/>
        <color rgb="FF0000FF"/>
        <rFont val="ＭＳ ゴシック"/>
        <family val="3"/>
        <charset val="128"/>
      </rPr>
      <t>「設定(検索・見積)」シート</t>
    </r>
    <r>
      <rPr>
        <sz val="11"/>
        <rFont val="ＭＳ ゴシック"/>
        <family val="3"/>
        <charset val="128"/>
      </rPr>
      <t>のプロダクトID配下の「検索」ボタンを押下してください</t>
    </r>
    <rPh sb="22" eb="24">
      <t>ハイカ</t>
    </rPh>
    <rPh sb="26" eb="28">
      <t>ケンサク</t>
    </rPh>
    <phoneticPr fontId="1"/>
  </si>
  <si>
    <r>
      <t>機能仕様書を新規作成した場合は</t>
    </r>
    <r>
      <rPr>
        <sz val="11"/>
        <color rgb="FF0000FF"/>
        <rFont val="ＭＳ ゴシック"/>
        <family val="3"/>
        <charset val="128"/>
      </rPr>
      <t>「計測・見積結果」シート</t>
    </r>
    <r>
      <rPr>
        <sz val="11"/>
        <rFont val="ＭＳ ゴシック"/>
        <family val="3"/>
        <charset val="128"/>
      </rPr>
      <t>の「見積総工数（新規ベース）」を参照ください</t>
    </r>
    <rPh sb="0" eb="2">
      <t>キノウ</t>
    </rPh>
    <rPh sb="2" eb="4">
      <t>シヨウ</t>
    </rPh>
    <rPh sb="4" eb="5">
      <t>ショ</t>
    </rPh>
    <rPh sb="6" eb="8">
      <t>シンキ</t>
    </rPh>
    <rPh sb="8" eb="10">
      <t>サクセイ</t>
    </rPh>
    <rPh sb="12" eb="14">
      <t>バアイ</t>
    </rPh>
    <rPh sb="29" eb="31">
      <t>ミツモリ</t>
    </rPh>
    <rPh sb="31" eb="32">
      <t>ソウ</t>
    </rPh>
    <rPh sb="32" eb="34">
      <t>コウスウ</t>
    </rPh>
    <rPh sb="35" eb="37">
      <t>シンキ</t>
    </rPh>
    <rPh sb="43" eb="45">
      <t>サンショウ</t>
    </rPh>
    <phoneticPr fontId="1"/>
  </si>
  <si>
    <r>
      <t>機能仕様書を改修した場合は</t>
    </r>
    <r>
      <rPr>
        <sz val="11"/>
        <color rgb="FF0000FF"/>
        <rFont val="ＭＳ ゴシック"/>
        <family val="3"/>
        <charset val="128"/>
      </rPr>
      <t>「計測・見積結果」シート</t>
    </r>
    <r>
      <rPr>
        <sz val="11"/>
        <rFont val="ＭＳ ゴシック"/>
        <family val="3"/>
        <charset val="128"/>
      </rPr>
      <t>の「見積総工数（変更率反映）」を参照ください</t>
    </r>
    <rPh sb="0" eb="2">
      <t>キノウ</t>
    </rPh>
    <rPh sb="2" eb="4">
      <t>シヨウ</t>
    </rPh>
    <rPh sb="4" eb="5">
      <t>ショ</t>
    </rPh>
    <rPh sb="6" eb="8">
      <t>カイシュウ</t>
    </rPh>
    <rPh sb="10" eb="12">
      <t>バアイ</t>
    </rPh>
    <rPh sb="27" eb="29">
      <t>ミツモリ</t>
    </rPh>
    <rPh sb="29" eb="30">
      <t>ソウ</t>
    </rPh>
    <rPh sb="30" eb="32">
      <t>コウスウ</t>
    </rPh>
    <rPh sb="33" eb="35">
      <t>ヘンコウ</t>
    </rPh>
    <rPh sb="35" eb="36">
      <t>リツ</t>
    </rPh>
    <rPh sb="36" eb="38">
      <t>ハンエイ</t>
    </rPh>
    <rPh sb="41" eb="43">
      <t>サンショウ</t>
    </rPh>
    <phoneticPr fontId="1"/>
  </si>
  <si>
    <r>
      <t>※機能仕様書の改修でも</t>
    </r>
    <r>
      <rPr>
        <sz val="11"/>
        <color rgb="FF0000FF"/>
        <rFont val="ＭＳ ゴシック"/>
        <family val="3"/>
        <charset val="128"/>
      </rPr>
      <t>「【説明】変更箇所の検知」シート</t>
    </r>
    <r>
      <rPr>
        <sz val="11"/>
        <rFont val="ＭＳ ゴシック"/>
        <family val="3"/>
        <charset val="128"/>
      </rPr>
      <t>の記載にあるように改訂履歴のバージョンが取得できない場合は</t>
    </r>
    <rPh sb="1" eb="3">
      <t>キノウ</t>
    </rPh>
    <rPh sb="3" eb="5">
      <t>シヨウ</t>
    </rPh>
    <rPh sb="5" eb="6">
      <t>ショ</t>
    </rPh>
    <rPh sb="7" eb="9">
      <t>カイシュウ</t>
    </rPh>
    <rPh sb="28" eb="30">
      <t>キサイ</t>
    </rPh>
    <rPh sb="36" eb="38">
      <t>カイテイ</t>
    </rPh>
    <rPh sb="38" eb="40">
      <t>リレキ</t>
    </rPh>
    <rPh sb="47" eb="49">
      <t>シュトク</t>
    </rPh>
    <rPh sb="53" eb="55">
      <t>バアイ</t>
    </rPh>
    <phoneticPr fontId="1"/>
  </si>
  <si>
    <t>Ver1.2</t>
    <phoneticPr fontId="1"/>
  </si>
  <si>
    <t>完了メッセージの表示
macro_estimate.xlamでFind情報の引き継ぎを初期化</t>
    <rPh sb="0" eb="2">
      <t>カンリョウ</t>
    </rPh>
    <rPh sb="8" eb="10">
      <t>ヒョウジ</t>
    </rPh>
    <rPh sb="35" eb="37">
      <t>ジョウホウ</t>
    </rPh>
    <rPh sb="38" eb="39">
      <t>ヒ</t>
    </rPh>
    <rPh sb="40" eb="41">
      <t>ツ</t>
    </rPh>
    <rPh sb="43" eb="46">
      <t>ショキカ</t>
    </rPh>
    <phoneticPr fontId="1"/>
  </si>
  <si>
    <t>PAGE数
有効行数計算</t>
    <rPh sb="4" eb="5">
      <t>スウ</t>
    </rPh>
    <rPh sb="6" eb="8">
      <t>ユウコウ</t>
    </rPh>
    <rPh sb="8" eb="10">
      <t>ギョウスウ</t>
    </rPh>
    <rPh sb="10" eb="12">
      <t>ケイサン</t>
    </rPh>
    <phoneticPr fontId="1"/>
  </si>
  <si>
    <t>1PAGE有効行</t>
    <rPh sb="5" eb="7">
      <t>ユウコウ</t>
    </rPh>
    <rPh sb="7" eb="8">
      <t>ギョウ</t>
    </rPh>
    <phoneticPr fontId="1"/>
  </si>
  <si>
    <t>Ver2.0</t>
    <phoneticPr fontId="1"/>
  </si>
  <si>
    <t>PRODUCT_ID</t>
    <phoneticPr fontId="1"/>
  </si>
  <si>
    <r>
      <t xml:space="preserve">①見積係数の見直し
②不具合・要望対応
　Findの検索条件クリア
　処理時間の向上
</t>
    </r>
    <r>
      <rPr>
        <sz val="11"/>
        <color rgb="FFFF0000"/>
        <rFont val="ＭＳ Ｐゴシック"/>
        <family val="3"/>
        <charset val="128"/>
      </rPr>
      <t>※アドイン：macro_estimate.xlamを5/25分で更新してください</t>
    </r>
    <rPh sb="1" eb="3">
      <t>ミツモリ</t>
    </rPh>
    <rPh sb="3" eb="5">
      <t>ケイスウ</t>
    </rPh>
    <rPh sb="6" eb="8">
      <t>ミナオ</t>
    </rPh>
    <rPh sb="11" eb="14">
      <t>フグアイ</t>
    </rPh>
    <rPh sb="15" eb="17">
      <t>ヨウボウ</t>
    </rPh>
    <rPh sb="17" eb="19">
      <t>タイオウ</t>
    </rPh>
    <rPh sb="26" eb="28">
      <t>ケンサク</t>
    </rPh>
    <rPh sb="28" eb="30">
      <t>ジョウケン</t>
    </rPh>
    <rPh sb="35" eb="37">
      <t>ショリ</t>
    </rPh>
    <rPh sb="37" eb="39">
      <t>ジカン</t>
    </rPh>
    <rPh sb="40" eb="42">
      <t>コウジョウ</t>
    </rPh>
    <rPh sb="73" eb="74">
      <t>ブン</t>
    </rPh>
    <rPh sb="75" eb="77">
      <t>コウシン</t>
    </rPh>
    <phoneticPr fontId="1"/>
  </si>
  <si>
    <t>FD ﾊﾞｰｼﾞｮﾝ</t>
    <phoneticPr fontId="1"/>
  </si>
  <si>
    <t>FD ﾊﾞｰｼﾞｮﾝ</t>
    <phoneticPr fontId="1"/>
  </si>
  <si>
    <t>Ver2.1</t>
    <phoneticPr fontId="1"/>
  </si>
  <si>
    <r>
      <t xml:space="preserve">【要望対応】
①『設定(計測・登録)』シートの格納場所ボタン追加（フォルダ選択ダイアログの機能）
②『設定(検索・見積)』シートの検索条件にFDﾊﾞｰｼﾞｮﾝの条件を機能追加
</t>
    </r>
    <r>
      <rPr>
        <sz val="11"/>
        <color rgb="FFFF0000"/>
        <rFont val="ＭＳ Ｐゴシック"/>
        <family val="3"/>
        <charset val="128"/>
      </rPr>
      <t>※アドイン：macro_estimate.xlamを7/3分で更新してください</t>
    </r>
    <rPh sb="1" eb="3">
      <t>ヨウボウ</t>
    </rPh>
    <rPh sb="3" eb="5">
      <t>タイオウ</t>
    </rPh>
    <rPh sb="30" eb="32">
      <t>ツイカ</t>
    </rPh>
    <rPh sb="65" eb="67">
      <t>ケンサク</t>
    </rPh>
    <rPh sb="67" eb="69">
      <t>ジョウケン</t>
    </rPh>
    <rPh sb="80" eb="82">
      <t>ジョウケン</t>
    </rPh>
    <rPh sb="83" eb="85">
      <t>キノウ</t>
    </rPh>
    <rPh sb="85" eb="87">
      <t>ツイカ</t>
    </rPh>
    <rPh sb="117" eb="118">
      <t>ブン</t>
    </rPh>
    <rPh sb="119" eb="121">
      <t>コウシン</t>
    </rPh>
    <phoneticPr fontId="1"/>
  </si>
  <si>
    <t>Ver3.0</t>
    <phoneticPr fontId="1"/>
  </si>
  <si>
    <t>Provider=OraOLEDB.Oracle;Data Source=TST1_SPIRITS;User ID=SCHM_C002;Password=SCHM_C002;</t>
    <phoneticPr fontId="1"/>
  </si>
  <si>
    <t>oracle11gへの移行により接続先修正(SCHM_C200)</t>
    <rPh sb="11" eb="13">
      <t>イコウ</t>
    </rPh>
    <rPh sb="16" eb="18">
      <t>セツゾク</t>
    </rPh>
    <rPh sb="18" eb="19">
      <t>サキ</t>
    </rPh>
    <rPh sb="19" eb="21">
      <t>シュウセイ</t>
    </rPh>
    <phoneticPr fontId="1"/>
  </si>
  <si>
    <t>oracle11gへの移行により接続先修正(SCHM_C002)</t>
    <rPh sb="11" eb="13">
      <t>イコウ</t>
    </rPh>
    <rPh sb="16" eb="18">
      <t>セツゾク</t>
    </rPh>
    <rPh sb="18" eb="19">
      <t>サキ</t>
    </rPh>
    <rPh sb="19" eb="21">
      <t>シュウセイ</t>
    </rPh>
    <phoneticPr fontId="1"/>
  </si>
  <si>
    <t>Ver3.1</t>
    <phoneticPr fontId="1"/>
  </si>
  <si>
    <t>Provider=OraOLEDB.Oracle;Data Source=TST1_SPIRITS;User ID=SCHM_C200;Password=SCHM_C200;</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</si>
</sst>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23">
    <font>
      <sz val="11"/>
      <name val="ＭＳ Ｐゴシック"/>
      <family val="3"/>
      <charset val="128"/>
    </font>
    <font>
      <sz val="6"/>
      <name val="ＭＳ Ｐゴシック"/>
      <family val="3"/>
      <charset val="128"/>
    </font>
    <font>
      <b/>
      <sz val="16"/>
      <name val="ＭＳ 明朝"/>
      <family val="1"/>
      <charset val="128"/>
    </font>
    <font>
      <sz val="11"/>
      <name val="ＭＳ 明朝"/>
      <family val="1"/>
      <charset val="128"/>
    </font>
    <font>
      <b/>
      <sz val="11"/>
      <name val="ＭＳ 明朝"/>
      <family val="1"/>
      <charset val="128"/>
    </font>
    <font>
      <sz val="11"/>
      <color indexed="10"/>
      <name val="ＭＳ 明朝"/>
      <family val="1"/>
      <charset val="128"/>
    </font>
    <font>
      <sz val="11"/>
      <color indexed="8"/>
      <name val="ＭＳ Ｐゴシック"/>
      <family val="3"/>
      <charset val="128"/>
    </font>
    <font>
      <sz val="9"/>
      <name val="ＭＳ ゴシック"/>
      <family val="3"/>
      <charset val="128"/>
    </font>
    <font>
      <sz val="11"/>
      <name val="ＭＳ ゴシック"/>
      <family val="3"/>
      <charset val="128"/>
    </font>
    <font>
      <sz val="11"/>
      <color indexed="8"/>
      <name val="ＭＳ 明朝"/>
      <family val="1"/>
      <charset val="128"/>
    </font>
    <font>
      <b/>
      <sz val="9"/>
      <color indexed="81"/>
      <name val="ＭＳ Ｐゴシック"/>
      <family val="3"/>
      <charset val="128"/>
    </font>
    <font>
      <sz val="11"/>
      <color theme="0"/>
      <name val="ＭＳ 明朝"/>
      <family val="1"/>
      <charset val="128"/>
    </font>
    <font>
      <sz val="11"/>
      <name val="ＭＳ Ｐゴシック"/>
      <family val="3"/>
      <charset val="128"/>
    </font>
    <font>
      <sz val="11"/>
      <color rgb="FFFF0000"/>
      <name val="ＭＳ 明朝"/>
      <family val="1"/>
      <charset val="128"/>
    </font>
    <font>
      <sz val="11"/>
      <color rgb="FF0000FF"/>
      <name val="ＭＳ 明朝"/>
      <family val="1"/>
      <charset val="128"/>
    </font>
    <font>
      <b/>
      <sz val="11"/>
      <color indexed="81"/>
      <name val="ＭＳ 明朝"/>
      <family val="1"/>
      <charset val="128"/>
    </font>
    <font>
      <sz val="11"/>
      <color indexed="12"/>
      <name val="ＭＳ 明朝"/>
      <family val="1"/>
      <charset val="128"/>
    </font>
    <font>
      <sz val="10"/>
      <name val="ＭＳ Ｐゴシック"/>
      <family val="3"/>
      <charset val="128"/>
    </font>
    <font>
      <sz val="11"/>
      <color rgb="FFFF0000"/>
      <name val="ＭＳ Ｐゴシック"/>
      <family val="3"/>
      <charset val="128"/>
    </font>
    <font>
      <sz val="11"/>
      <color rgb="FF0000FF"/>
      <name val="ＭＳ Ｐゴシック"/>
      <family val="3"/>
      <charset val="128"/>
    </font>
    <font>
      <b/>
      <sz val="16"/>
      <name val="ＭＳ ゴシック"/>
      <family val="3"/>
      <charset val="128"/>
    </font>
    <font>
      <b/>
      <sz val="11"/>
      <color rgb="FFFF0000"/>
      <name val="ＭＳ ゴシック"/>
      <family val="3"/>
      <charset val="128"/>
    </font>
    <font>
      <sz val="11"/>
      <color rgb="FF0000FF"/>
      <name val="ＭＳ ゴシック"/>
      <family val="3"/>
      <charset val="128"/>
    </font>
  </fonts>
  <fills count="12">
    <fill>
      <patternFill patternType="none"/>
    </fill>
    <fill>
      <patternFill patternType="gray125"/>
    </fill>
    <fill>
      <patternFill patternType="solid">
        <fgColor indexed="9"/>
        <bgColor indexed="64"/>
      </patternFill>
    </fill>
    <fill>
      <patternFill patternType="solid">
        <fgColor indexed="42"/>
        <bgColor indexed="64"/>
      </patternFill>
    </fill>
    <fill>
      <patternFill patternType="solid">
        <fgColor indexed="22"/>
        <bgColor indexed="64"/>
      </patternFill>
    </fill>
    <fill>
      <patternFill patternType="solid">
        <fgColor indexed="51"/>
        <bgColor indexed="64"/>
      </patternFill>
    </fill>
    <fill>
      <patternFill patternType="solid">
        <fgColor rgb="FF7030A0"/>
        <bgColor indexed="64"/>
      </patternFill>
    </fill>
    <fill>
      <patternFill patternType="solid">
        <fgColor rgb="FFFFFF00"/>
        <bgColor indexed="64"/>
      </patternFill>
    </fill>
    <fill>
      <patternFill patternType="solid">
        <fgColor indexed="13"/>
        <bgColor indexed="64"/>
      </patternFill>
    </fill>
    <fill>
      <patternFill patternType="solid">
        <fgColor indexed="50"/>
        <bgColor indexed="64"/>
      </patternFill>
    </fill>
    <fill>
      <patternFill patternType="solid">
        <fgColor rgb="FF92D050"/>
        <bgColor indexed="64"/>
      </patternFill>
    </fill>
    <fill>
      <patternFill patternType="solid">
        <fgColor rgb="FF00B0F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alignment vertical="center"/>
    </xf>
    <xf numFmtId="0" fontId="6" fillId="0" borderId="0">
      <alignment vertical="center"/>
    </xf>
    <xf numFmtId="38" fontId="17" fillId="0" borderId="0" applyFont="0" applyFill="0" applyBorder="0" applyAlignment="0" applyProtection="0">
      <alignment vertical="center"/>
    </xf>
    <xf numFmtId="38" fontId="12" fillId="0" borderId="0" applyFont="0" applyFill="0" applyBorder="0" applyAlignment="0" applyProtection="0">
      <alignment vertical="center"/>
    </xf>
    <xf numFmtId="0" fontId="12" fillId="0" borderId="0">
      <alignment vertical="center"/>
    </xf>
    <xf numFmtId="0" fontId="6" fillId="0" borderId="0">
      <alignment vertical="center"/>
    </xf>
    <xf numFmtId="0" fontId="17" fillId="0" borderId="0">
      <alignment vertical="center"/>
    </xf>
  </cellStyleXfs>
  <cellXfs count="90">
    <xf numFmtId="0" fontId="0" fillId="0" borderId="0" xfId="0">
      <alignment vertical="center"/>
    </xf>
    <xf numFmtId="0" fontId="2" fillId="2" borderId="0" xfId="0" applyFont="1" applyFill="1">
      <alignment vertical="center"/>
    </xf>
    <xf numFmtId="0" fontId="3" fillId="2" borderId="0" xfId="0" applyFont="1" applyFill="1">
      <alignment vertical="center"/>
    </xf>
    <xf numFmtId="0" fontId="3" fillId="2" borderId="0" xfId="0" applyFont="1" applyFill="1" applyAlignment="1">
      <alignment horizontal="left" vertical="center"/>
    </xf>
    <xf numFmtId="0" fontId="3" fillId="3" borderId="1" xfId="0" applyFont="1" applyFill="1" applyBorder="1" applyAlignment="1">
      <alignment horizontal="center" vertical="center"/>
    </xf>
    <xf numFmtId="0" fontId="3" fillId="2" borderId="0" xfId="0" applyFont="1" applyFill="1" applyAlignment="1">
      <alignment horizontal="center" vertical="center"/>
    </xf>
    <xf numFmtId="0" fontId="4" fillId="2" borderId="0" xfId="0" applyFont="1" applyFill="1" applyAlignment="1">
      <alignment horizontal="center" vertical="center"/>
    </xf>
    <xf numFmtId="0" fontId="4" fillId="2" borderId="0" xfId="0" applyFont="1" applyFill="1" applyAlignment="1">
      <alignment vertical="center"/>
    </xf>
    <xf numFmtId="0" fontId="4" fillId="2" borderId="0" xfId="0" applyFont="1" applyFill="1" applyAlignment="1">
      <alignment horizontal="center" vertical="center" wrapText="1"/>
    </xf>
    <xf numFmtId="0" fontId="3" fillId="3" borderId="1" xfId="0" applyFont="1" applyFill="1" applyBorder="1">
      <alignment vertical="center"/>
    </xf>
    <xf numFmtId="0" fontId="3" fillId="3" borderId="2" xfId="0" applyFont="1" applyFill="1" applyBorder="1" applyAlignment="1">
      <alignment horizontal="center" vertical="center"/>
    </xf>
    <xf numFmtId="0" fontId="3" fillId="4" borderId="1" xfId="0" applyFont="1" applyFill="1" applyBorder="1">
      <alignment vertical="center"/>
    </xf>
    <xf numFmtId="0" fontId="9" fillId="0" borderId="0" xfId="0" applyFont="1" applyFill="1">
      <alignment vertical="center"/>
    </xf>
    <xf numFmtId="49" fontId="9" fillId="0" borderId="0" xfId="0" applyNumberFormat="1" applyFont="1" applyFill="1">
      <alignment vertical="center"/>
    </xf>
    <xf numFmtId="0" fontId="3" fillId="5" borderId="1" xfId="0" applyFont="1" applyFill="1" applyBorder="1">
      <alignment vertical="center"/>
    </xf>
    <xf numFmtId="0" fontId="3" fillId="5" borderId="1" xfId="0" applyFont="1" applyFill="1" applyBorder="1" applyAlignment="1">
      <alignment vertical="center"/>
    </xf>
    <xf numFmtId="49" fontId="3" fillId="5" borderId="1" xfId="0" applyNumberFormat="1" applyFont="1" applyFill="1" applyBorder="1">
      <alignment vertical="center"/>
    </xf>
    <xf numFmtId="0" fontId="3" fillId="5" borderId="1" xfId="0" applyFont="1" applyFill="1" applyBorder="1" applyAlignment="1">
      <alignment vertical="center" wrapText="1"/>
    </xf>
    <xf numFmtId="49" fontId="9" fillId="5" borderId="1" xfId="0" applyNumberFormat="1" applyFont="1" applyFill="1" applyBorder="1">
      <alignment vertical="center"/>
    </xf>
    <xf numFmtId="49" fontId="9" fillId="5" borderId="1" xfId="0" applyNumberFormat="1" applyFont="1" applyFill="1" applyBorder="1" applyAlignment="1">
      <alignment vertical="center"/>
    </xf>
    <xf numFmtId="0" fontId="3" fillId="0" borderId="0" xfId="0" applyFont="1">
      <alignment vertical="center"/>
    </xf>
    <xf numFmtId="49" fontId="3" fillId="0" borderId="0" xfId="0" applyNumberFormat="1" applyFont="1">
      <alignment vertical="center"/>
    </xf>
    <xf numFmtId="0" fontId="9" fillId="5" borderId="1" xfId="0" applyFont="1" applyFill="1" applyBorder="1">
      <alignment vertical="center"/>
    </xf>
    <xf numFmtId="0" fontId="9" fillId="0" borderId="0" xfId="0" applyFont="1" applyFill="1" applyAlignment="1">
      <alignment vertical="center"/>
    </xf>
    <xf numFmtId="0" fontId="9" fillId="5" borderId="1" xfId="0" applyFont="1" applyFill="1" applyBorder="1" applyAlignment="1">
      <alignment vertical="center"/>
    </xf>
    <xf numFmtId="49" fontId="3" fillId="5" borderId="1" xfId="0" applyNumberFormat="1" applyFont="1" applyFill="1" applyBorder="1" applyAlignment="1">
      <alignment vertical="center"/>
    </xf>
    <xf numFmtId="49" fontId="5" fillId="2" borderId="0" xfId="0" applyNumberFormat="1" applyFont="1" applyFill="1" applyAlignment="1">
      <alignment vertical="center"/>
    </xf>
    <xf numFmtId="49" fontId="3" fillId="2" borderId="0" xfId="0" applyNumberFormat="1" applyFont="1" applyFill="1" applyAlignment="1">
      <alignment vertical="center"/>
    </xf>
    <xf numFmtId="49" fontId="9" fillId="0" borderId="0" xfId="0" applyNumberFormat="1" applyFont="1" applyFill="1" applyAlignment="1">
      <alignment vertical="center"/>
    </xf>
    <xf numFmtId="0" fontId="9" fillId="0" borderId="3" xfId="0" applyFont="1" applyFill="1" applyBorder="1">
      <alignment vertical="center"/>
    </xf>
    <xf numFmtId="0" fontId="11" fillId="6" borderId="1" xfId="0" applyFont="1" applyFill="1" applyBorder="1">
      <alignment vertical="center"/>
    </xf>
    <xf numFmtId="49" fontId="9" fillId="0" borderId="0" xfId="0" applyNumberFormat="1" applyFont="1">
      <alignment vertical="center"/>
    </xf>
    <xf numFmtId="0" fontId="9" fillId="0" borderId="0" xfId="0" applyFont="1">
      <alignment vertical="center"/>
    </xf>
    <xf numFmtId="0" fontId="9" fillId="0" borderId="0" xfId="0" applyNumberFormat="1" applyFont="1">
      <alignment vertical="center"/>
    </xf>
    <xf numFmtId="0" fontId="9" fillId="0" borderId="0" xfId="0" applyFont="1" applyBorder="1">
      <alignment vertical="center"/>
    </xf>
    <xf numFmtId="0" fontId="3" fillId="5" borderId="1" xfId="0" applyFont="1" applyFill="1" applyBorder="1" applyAlignment="1">
      <alignment vertical="center" textRotation="255"/>
    </xf>
    <xf numFmtId="49" fontId="3" fillId="5" borderId="1" xfId="0" applyNumberFormat="1" applyFont="1" applyFill="1" applyBorder="1" applyAlignment="1">
      <alignment vertical="center" textRotation="255"/>
    </xf>
    <xf numFmtId="0" fontId="3" fillId="5" borderId="1" xfId="0" applyFont="1" applyFill="1" applyBorder="1" applyAlignment="1">
      <alignment vertical="center" textRotation="255" wrapText="1"/>
    </xf>
    <xf numFmtId="0" fontId="3" fillId="5" borderId="1" xfId="0" applyFont="1" applyFill="1" applyBorder="1" applyAlignment="1">
      <alignment horizontal="center" vertical="center" textRotation="255" wrapText="1"/>
    </xf>
    <xf numFmtId="0" fontId="9" fillId="10" borderId="1" xfId="0" applyNumberFormat="1" applyFont="1" applyFill="1" applyBorder="1" applyAlignment="1">
      <alignment vertical="center" textRotation="255"/>
    </xf>
    <xf numFmtId="0" fontId="13" fillId="10" borderId="1" xfId="0" applyNumberFormat="1" applyFont="1" applyFill="1" applyBorder="1" applyAlignment="1">
      <alignment vertical="center" textRotation="255"/>
    </xf>
    <xf numFmtId="0" fontId="3" fillId="10" borderId="1" xfId="0" applyNumberFormat="1" applyFont="1" applyFill="1" applyBorder="1" applyAlignment="1">
      <alignment vertical="center" textRotation="255" wrapText="1" shrinkToFit="1"/>
    </xf>
    <xf numFmtId="0" fontId="14" fillId="10" borderId="1" xfId="0" applyNumberFormat="1" applyFont="1" applyFill="1" applyBorder="1" applyAlignment="1">
      <alignment vertical="center" textRotation="255"/>
    </xf>
    <xf numFmtId="0" fontId="16" fillId="0" borderId="0" xfId="0" applyFont="1">
      <alignment vertical="center"/>
    </xf>
    <xf numFmtId="0" fontId="16" fillId="5" borderId="1" xfId="0" applyFont="1" applyFill="1" applyBorder="1" applyAlignment="1">
      <alignment vertical="center" textRotation="255" wrapText="1"/>
    </xf>
    <xf numFmtId="0" fontId="13" fillId="10" borderId="1" xfId="0" applyNumberFormat="1" applyFont="1" applyFill="1" applyBorder="1" applyAlignment="1">
      <alignment vertical="center" textRotation="255" wrapText="1"/>
    </xf>
    <xf numFmtId="0" fontId="3" fillId="5" borderId="1" xfId="0" applyFont="1" applyFill="1" applyBorder="1" applyAlignment="1">
      <alignment vertical="center" textRotation="255" wrapText="1"/>
    </xf>
    <xf numFmtId="4" fontId="3" fillId="0" borderId="0" xfId="0" applyNumberFormat="1" applyFont="1" applyAlignment="1">
      <alignment vertical="center"/>
    </xf>
    <xf numFmtId="4" fontId="9" fillId="0" borderId="0" xfId="0" applyNumberFormat="1" applyFont="1" applyAlignment="1">
      <alignment vertical="center"/>
    </xf>
    <xf numFmtId="0" fontId="0" fillId="7" borderId="0" xfId="0" applyFill="1">
      <alignment vertical="center"/>
    </xf>
    <xf numFmtId="14" fontId="0" fillId="0" borderId="0" xfId="0" applyNumberFormat="1">
      <alignment vertical="center"/>
    </xf>
    <xf numFmtId="0" fontId="0" fillId="0" borderId="0" xfId="0" applyAlignment="1">
      <alignment vertical="center" wrapText="1"/>
    </xf>
    <xf numFmtId="0" fontId="19" fillId="0" borderId="0" xfId="0" applyFont="1">
      <alignment vertical="center"/>
    </xf>
    <xf numFmtId="0" fontId="8" fillId="0" borderId="0" xfId="0" applyFont="1">
      <alignment vertical="center"/>
    </xf>
    <xf numFmtId="0" fontId="20" fillId="0" borderId="0" xfId="0" applyFont="1">
      <alignment vertical="center"/>
    </xf>
    <xf numFmtId="0" fontId="21" fillId="0" borderId="0" xfId="0" applyFont="1">
      <alignment vertical="center"/>
    </xf>
    <xf numFmtId="0" fontId="3" fillId="11" borderId="1" xfId="0" applyFont="1" applyFill="1" applyBorder="1" applyAlignment="1">
      <alignment vertical="center" textRotation="255" wrapText="1"/>
    </xf>
    <xf numFmtId="49" fontId="11" fillId="6" borderId="1" xfId="0" applyNumberFormat="1" applyFont="1" applyFill="1" applyBorder="1">
      <alignment vertical="center"/>
    </xf>
    <xf numFmtId="49" fontId="3" fillId="2" borderId="0" xfId="0" applyNumberFormat="1" applyFont="1" applyFill="1">
      <alignment vertical="center"/>
    </xf>
    <xf numFmtId="49" fontId="3" fillId="2" borderId="0" xfId="0" applyNumberFormat="1" applyFont="1" applyFill="1" applyProtection="1">
      <alignment vertical="center"/>
      <protection locked="0"/>
    </xf>
    <xf numFmtId="49" fontId="3" fillId="9" borderId="0" xfId="0" applyNumberFormat="1" applyFont="1" applyFill="1">
      <alignment vertical="center"/>
    </xf>
    <xf numFmtId="0" fontId="3" fillId="3" borderId="2" xfId="0" applyFont="1" applyFill="1" applyBorder="1" applyAlignment="1">
      <alignment vertical="center"/>
    </xf>
    <xf numFmtId="0" fontId="3" fillId="3" borderId="4" xfId="0" applyFont="1" applyFill="1" applyBorder="1" applyAlignment="1">
      <alignment vertical="center"/>
    </xf>
    <xf numFmtId="0" fontId="3" fillId="3" borderId="5" xfId="0" applyFont="1" applyFill="1" applyBorder="1" applyAlignment="1">
      <alignment vertical="center"/>
    </xf>
    <xf numFmtId="0" fontId="3" fillId="3" borderId="2" xfId="0" applyFont="1" applyFill="1" applyBorder="1" applyAlignment="1">
      <alignment horizontal="left" vertical="center"/>
    </xf>
    <xf numFmtId="0" fontId="3" fillId="3" borderId="4" xfId="0" applyFont="1" applyFill="1" applyBorder="1" applyAlignment="1">
      <alignment horizontal="left" vertical="center"/>
    </xf>
    <xf numFmtId="0" fontId="3" fillId="3" borderId="5" xfId="0" applyFont="1" applyFill="1" applyBorder="1" applyAlignment="1">
      <alignment horizontal="left" vertical="center"/>
    </xf>
    <xf numFmtId="0" fontId="9" fillId="7" borderId="1" xfId="0" applyFont="1" applyFill="1" applyBorder="1" applyAlignment="1">
      <alignment vertical="center"/>
    </xf>
    <xf numFmtId="0" fontId="3" fillId="3" borderId="2" xfId="0" applyFont="1" applyFill="1" applyBorder="1" applyAlignment="1">
      <alignment horizontal="center" vertical="center"/>
    </xf>
    <xf numFmtId="0" fontId="3" fillId="3" borderId="4"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1" xfId="0" applyFont="1" applyFill="1" applyBorder="1" applyAlignment="1">
      <alignment horizontal="center" vertical="center"/>
    </xf>
    <xf numFmtId="0" fontId="3" fillId="3" borderId="6" xfId="0" applyFont="1" applyFill="1" applyBorder="1" applyAlignment="1">
      <alignment vertical="center"/>
    </xf>
    <xf numFmtId="0" fontId="3" fillId="3" borderId="7" xfId="0" applyFont="1" applyFill="1" applyBorder="1" applyAlignment="1">
      <alignment vertical="center"/>
    </xf>
    <xf numFmtId="0" fontId="3" fillId="3" borderId="6" xfId="0" applyFont="1" applyFill="1" applyBorder="1" applyAlignment="1">
      <alignment horizontal="center" vertical="center"/>
    </xf>
    <xf numFmtId="0" fontId="3" fillId="3" borderId="7" xfId="0" applyFont="1" applyFill="1" applyBorder="1" applyAlignment="1">
      <alignment horizontal="center" vertical="center"/>
    </xf>
    <xf numFmtId="49" fontId="3" fillId="3" borderId="6" xfId="0" applyNumberFormat="1" applyFont="1" applyFill="1" applyBorder="1" applyAlignment="1">
      <alignment vertical="center"/>
    </xf>
    <xf numFmtId="49" fontId="3" fillId="3" borderId="7" xfId="0" applyNumberFormat="1" applyFont="1" applyFill="1" applyBorder="1" applyAlignment="1">
      <alignment vertical="center"/>
    </xf>
    <xf numFmtId="0" fontId="9" fillId="0" borderId="2" xfId="0" applyFont="1" applyBorder="1" applyAlignment="1">
      <alignment vertical="center"/>
    </xf>
    <xf numFmtId="0" fontId="9" fillId="0" borderId="4" xfId="0" applyFont="1" applyBorder="1" applyAlignment="1">
      <alignment vertical="center"/>
    </xf>
    <xf numFmtId="0" fontId="9" fillId="0" borderId="5" xfId="0" applyFont="1" applyBorder="1" applyAlignment="1">
      <alignment vertical="center"/>
    </xf>
    <xf numFmtId="0" fontId="9" fillId="0" borderId="2" xfId="0" applyFont="1" applyBorder="1" applyAlignment="1">
      <alignment horizontal="left" vertical="center"/>
    </xf>
    <xf numFmtId="0" fontId="9" fillId="0" borderId="4" xfId="0" applyFont="1" applyBorder="1" applyAlignment="1">
      <alignment horizontal="left" vertical="center"/>
    </xf>
    <xf numFmtId="0" fontId="9" fillId="0" borderId="5" xfId="0" applyFont="1" applyBorder="1" applyAlignment="1">
      <alignment horizontal="left" vertical="center"/>
    </xf>
    <xf numFmtId="49" fontId="9" fillId="0" borderId="2" xfId="0" applyNumberFormat="1" applyFont="1" applyBorder="1" applyAlignment="1">
      <alignment horizontal="left" vertical="center"/>
    </xf>
    <xf numFmtId="49" fontId="9" fillId="0" borderId="4" xfId="0" applyNumberFormat="1" applyFont="1" applyBorder="1" applyAlignment="1">
      <alignment horizontal="left" vertical="center"/>
    </xf>
    <xf numFmtId="49" fontId="9" fillId="0" borderId="5" xfId="0" applyNumberFormat="1" applyFont="1" applyBorder="1" applyAlignment="1">
      <alignment horizontal="left" vertical="center"/>
    </xf>
    <xf numFmtId="49" fontId="3" fillId="8" borderId="8" xfId="0" applyNumberFormat="1" applyFont="1" applyFill="1" applyBorder="1" applyAlignment="1" applyProtection="1">
      <alignment vertical="center"/>
      <protection locked="0"/>
    </xf>
    <xf numFmtId="49" fontId="3" fillId="8" borderId="9" xfId="0" applyNumberFormat="1" applyFont="1" applyFill="1" applyBorder="1" applyAlignment="1" applyProtection="1">
      <alignment vertical="center"/>
      <protection locked="0"/>
    </xf>
    <xf numFmtId="49" fontId="3" fillId="8" borderId="10" xfId="0" applyNumberFormat="1" applyFont="1" applyFill="1" applyBorder="1" applyAlignment="1" applyProtection="1">
      <alignment vertical="center"/>
      <protection locked="0"/>
    </xf>
  </cellXfs>
  <cellStyles count="7">
    <cellStyle name="桁区切り 2" xfId="2"/>
    <cellStyle name="桁区切り 3" xfId="3"/>
    <cellStyle name="標準" xfId="0" builtinId="0"/>
    <cellStyle name="標準 2" xfId="1"/>
    <cellStyle name="標準 2 2" xfId="4"/>
    <cellStyle name="標準 2_DBフォーマット" xfId="5"/>
    <cellStyle name="標準 3" xfId="6"/>
  </cellStyles>
  <dxfs count="0"/>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5</xdr:col>
      <xdr:colOff>76200</xdr:colOff>
      <xdr:row>50</xdr:row>
      <xdr:rowOff>0</xdr:rowOff>
    </xdr:from>
    <xdr:to>
      <xdr:col>6</xdr:col>
      <xdr:colOff>647700</xdr:colOff>
      <xdr:row>52</xdr:row>
      <xdr:rowOff>9525</xdr:rowOff>
    </xdr:to>
    <xdr:sp macro="" textlink="">
      <xdr:nvSpPr>
        <xdr:cNvPr id="10" name="Rectangle 7"/>
        <xdr:cNvSpPr>
          <a:spLocks noChangeArrowheads="1"/>
        </xdr:cNvSpPr>
      </xdr:nvSpPr>
      <xdr:spPr bwMode="auto">
        <a:xfrm>
          <a:off x="3505200" y="8229600"/>
          <a:ext cx="1257300" cy="352425"/>
        </a:xfrm>
        <a:prstGeom prst="rect">
          <a:avLst/>
        </a:prstGeom>
        <a:noFill/>
        <a:ln w="9525">
          <a:noFill/>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FFFFFF"/>
              </a:solidFill>
              <a:latin typeface="ＭＳ Ｐゴシック"/>
              <a:ea typeface="ＭＳ Ｐゴシック"/>
            </a:rPr>
            <a:t>転記してください</a:t>
          </a:r>
        </a:p>
      </xdr:txBody>
    </xdr:sp>
    <xdr:clientData/>
  </xdr:twoCellAnchor>
  <xdr:twoCellAnchor>
    <xdr:from>
      <xdr:col>0</xdr:col>
      <xdr:colOff>492915</xdr:colOff>
      <xdr:row>0</xdr:row>
      <xdr:rowOff>104776</xdr:rowOff>
    </xdr:from>
    <xdr:to>
      <xdr:col>14</xdr:col>
      <xdr:colOff>254790</xdr:colOff>
      <xdr:row>25</xdr:row>
      <xdr:rowOff>47625</xdr:rowOff>
    </xdr:to>
    <xdr:sp macro="" textlink="">
      <xdr:nvSpPr>
        <xdr:cNvPr id="11" name="Rectangle 8"/>
        <xdr:cNvSpPr>
          <a:spLocks noChangeArrowheads="1"/>
        </xdr:cNvSpPr>
      </xdr:nvSpPr>
      <xdr:spPr bwMode="auto">
        <a:xfrm>
          <a:off x="492915" y="104776"/>
          <a:ext cx="9429750" cy="4110037"/>
        </a:xfrm>
        <a:prstGeom prst="rect">
          <a:avLst/>
        </a:prstGeom>
        <a:solidFill>
          <a:srgbClr val="FFFFFF"/>
        </a:solidFill>
        <a:ln w="9525">
          <a:solidFill>
            <a:srgbClr val="000000"/>
          </a:solidFill>
          <a:miter lim="800000"/>
          <a:headEnd/>
          <a:tailEnd/>
        </a:ln>
      </xdr:spPr>
      <xdr:txBody>
        <a:bodyPr vertOverflow="clip" wrap="square" lIns="36576" tIns="18288" rIns="0" bIns="0" anchor="t" upright="1"/>
        <a:lstStyle/>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r>
            <a:rPr lang="ja-JP" altLang="en-US" sz="1100" b="1" i="0" u="none" strike="noStrike" baseline="0">
              <a:solidFill>
                <a:srgbClr val="000000"/>
              </a:solidFill>
              <a:latin typeface="ＭＳ Ｐゴシック"/>
              <a:ea typeface="ＭＳ Ｐゴシック"/>
            </a:rPr>
            <a:t>　以下のようにプロダクト</a:t>
          </a:r>
          <a:r>
            <a:rPr lang="en-US" altLang="ja-JP" sz="1100" b="1" i="0" u="none" strike="noStrike" baseline="0">
              <a:solidFill>
                <a:srgbClr val="000000"/>
              </a:solidFill>
              <a:latin typeface="ＭＳ Ｐゴシック"/>
              <a:ea typeface="ＭＳ Ｐゴシック"/>
            </a:rPr>
            <a:t>ID</a:t>
          </a:r>
          <a:r>
            <a:rPr lang="ja-JP" altLang="en-US" sz="1100" b="1" i="0" u="none" strike="noStrike" baseline="0">
              <a:solidFill>
                <a:srgbClr val="000000"/>
              </a:solidFill>
              <a:latin typeface="ＭＳ Ｐゴシック"/>
              <a:ea typeface="ＭＳ Ｐゴシック"/>
            </a:rPr>
            <a:t>単位でフォルダを作成し、計測対象の仕様書を格納してください</a:t>
          </a:r>
        </a:p>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r>
            <a:rPr lang="ja-JP" altLang="en-US" sz="1100" b="1" i="0" u="none" strike="noStrike" baseline="0">
              <a:solidFill>
                <a:srgbClr val="000000"/>
              </a:solidFill>
              <a:latin typeface="ＭＳ Ｐゴシック"/>
              <a:ea typeface="ＭＳ Ｐゴシック"/>
            </a:rPr>
            <a:t>　</a:t>
          </a:r>
          <a:endParaRPr lang="en-US" altLang="ja-JP" sz="1100" b="1" i="0" u="none" strike="noStrike" baseline="0">
            <a:solidFill>
              <a:srgbClr val="000000"/>
            </a:solidFill>
            <a:latin typeface="ＭＳ Ｐゴシック"/>
            <a:ea typeface="ＭＳ Ｐゴシック"/>
          </a:endParaRPr>
        </a:p>
        <a:p>
          <a:pPr algn="l" rtl="0">
            <a:defRPr sz="1000"/>
          </a:pPr>
          <a:endParaRPr lang="en-US" altLang="ja-JP" sz="1100" b="1" i="0" u="none" strike="noStrike" baseline="0">
            <a:solidFill>
              <a:srgbClr val="000000"/>
            </a:solidFill>
            <a:latin typeface="ＭＳ Ｐゴシック"/>
            <a:ea typeface="ＭＳ Ｐゴシック"/>
          </a:endParaRPr>
        </a:p>
        <a:p>
          <a:pPr algn="l" rtl="0">
            <a:defRPr sz="1000"/>
          </a:pPr>
          <a:endParaRPr lang="en-US" altLang="ja-JP" sz="1100" b="1" i="0" u="none" strike="noStrike" baseline="0">
            <a:solidFill>
              <a:srgbClr val="000000"/>
            </a:solidFill>
            <a:latin typeface="ＭＳ Ｐゴシック"/>
            <a:ea typeface="ＭＳ Ｐゴシック"/>
          </a:endParaRPr>
        </a:p>
        <a:p>
          <a:pPr algn="l" rtl="0">
            <a:defRPr sz="1000"/>
          </a:pPr>
          <a:endParaRPr lang="en-US" altLang="ja-JP" sz="1100" b="1" i="0" u="none" strike="noStrike" baseline="0">
            <a:solidFill>
              <a:srgbClr val="000000"/>
            </a:solidFill>
            <a:latin typeface="ＭＳ Ｐゴシック"/>
            <a:ea typeface="ＭＳ Ｐゴシック"/>
          </a:endParaRPr>
        </a:p>
        <a:p>
          <a:pPr algn="l" rtl="0">
            <a:defRPr sz="1000"/>
          </a:pPr>
          <a:endParaRPr lang="en-US" altLang="ja-JP" sz="1100" b="1" i="0" u="none" strike="noStrike" baseline="0">
            <a:solidFill>
              <a:srgbClr val="000000"/>
            </a:solidFill>
            <a:latin typeface="ＭＳ Ｐゴシック"/>
            <a:ea typeface="ＭＳ Ｐゴシック"/>
          </a:endParaRPr>
        </a:p>
        <a:p>
          <a:pPr algn="l" rtl="0">
            <a:defRPr sz="1000"/>
          </a:pPr>
          <a:endParaRPr lang="en-US" altLang="ja-JP" sz="1100" b="1" i="0" u="none" strike="noStrike" baseline="0">
            <a:solidFill>
              <a:srgbClr val="000000"/>
            </a:solidFill>
            <a:latin typeface="ＭＳ Ｐゴシック"/>
            <a:ea typeface="ＭＳ Ｐゴシック"/>
          </a:endParaRPr>
        </a:p>
        <a:p>
          <a:pPr algn="l" rtl="0">
            <a:defRPr sz="1000"/>
          </a:pPr>
          <a:endParaRPr lang="en-US" altLang="ja-JP" sz="1100" b="1" i="0" u="none" strike="noStrike" baseline="0">
            <a:solidFill>
              <a:srgbClr val="000000"/>
            </a:solidFill>
            <a:latin typeface="ＭＳ Ｐゴシック"/>
            <a:ea typeface="ＭＳ Ｐゴシック"/>
          </a:endParaRPr>
        </a:p>
        <a:p>
          <a:pPr algn="l" rtl="0">
            <a:defRPr sz="1000"/>
          </a:pPr>
          <a:endParaRPr lang="en-US" altLang="ja-JP" sz="1100" b="1" i="0" u="none" strike="noStrike" baseline="0">
            <a:solidFill>
              <a:srgbClr val="000000"/>
            </a:solidFill>
            <a:latin typeface="ＭＳ Ｐゴシック"/>
            <a:ea typeface="ＭＳ Ｐゴシック"/>
          </a:endParaRPr>
        </a:p>
        <a:p>
          <a:pPr algn="l" rtl="0">
            <a:defRPr sz="1000"/>
          </a:pPr>
          <a:endParaRPr lang="en-US" altLang="ja-JP" sz="1100" b="1" i="0" u="none" strike="noStrike" baseline="0">
            <a:solidFill>
              <a:srgbClr val="000000"/>
            </a:solidFill>
            <a:latin typeface="ＭＳ Ｐゴシック"/>
            <a:ea typeface="ＭＳ Ｐゴシック"/>
          </a:endParaRPr>
        </a:p>
        <a:p>
          <a:pPr algn="l" rtl="0">
            <a:defRPr sz="1000"/>
          </a:pPr>
          <a:endParaRPr lang="en-US" altLang="ja-JP" sz="1100" b="1" i="0" u="none" strike="noStrike" baseline="0">
            <a:solidFill>
              <a:srgbClr val="000000"/>
            </a:solidFill>
            <a:latin typeface="ＭＳ Ｐゴシック"/>
            <a:ea typeface="ＭＳ Ｐゴシック"/>
          </a:endParaRPr>
        </a:p>
        <a:p>
          <a:pPr algn="l" rtl="0">
            <a:defRPr sz="1000"/>
          </a:pPr>
          <a:endParaRPr lang="en-US" altLang="ja-JP" sz="1100" b="1" i="0" u="none" strike="noStrike" baseline="0">
            <a:solidFill>
              <a:srgbClr val="000000"/>
            </a:solidFill>
            <a:latin typeface="ＭＳ Ｐゴシック"/>
            <a:ea typeface="ＭＳ Ｐゴシック"/>
          </a:endParaRPr>
        </a:p>
      </xdr:txBody>
    </xdr:sp>
    <xdr:clientData/>
  </xdr:twoCellAnchor>
  <xdr:twoCellAnchor editAs="oneCell">
    <xdr:from>
      <xdr:col>1</xdr:col>
      <xdr:colOff>321461</xdr:colOff>
      <xdr:row>4</xdr:row>
      <xdr:rowOff>119065</xdr:rowOff>
    </xdr:from>
    <xdr:to>
      <xdr:col>13</xdr:col>
      <xdr:colOff>95242</xdr:colOff>
      <xdr:row>22</xdr:row>
      <xdr:rowOff>59533</xdr:rowOff>
    </xdr:to>
    <xdr:pic>
      <xdr:nvPicPr>
        <xdr:cNvPr id="20481" name="Picture 1"/>
        <xdr:cNvPicPr>
          <a:picLocks noChangeAspect="1" noChangeArrowheads="1"/>
        </xdr:cNvPicPr>
      </xdr:nvPicPr>
      <xdr:blipFill>
        <a:blip xmlns:r="http://schemas.openxmlformats.org/officeDocument/2006/relationships" r:embed="rId1" cstate="print"/>
        <a:srcRect r="17278" b="31918"/>
        <a:stretch>
          <a:fillRect/>
        </a:stretch>
      </xdr:blipFill>
      <xdr:spPr bwMode="auto">
        <a:xfrm>
          <a:off x="1012024" y="785815"/>
          <a:ext cx="8060531" cy="2940843"/>
        </a:xfrm>
        <a:prstGeom prst="rect">
          <a:avLst/>
        </a:prstGeom>
        <a:noFill/>
        <a:ln w="1">
          <a:noFill/>
          <a:miter lim="800000"/>
          <a:headEnd/>
          <a:tailEnd type="none" w="med" len="med"/>
        </a:ln>
        <a:effectLst/>
      </xdr:spPr>
    </xdr:pic>
    <xdr:clientData/>
  </xdr:twoCellAnchor>
  <xdr:twoCellAnchor editAs="oneCell">
    <xdr:from>
      <xdr:col>0</xdr:col>
      <xdr:colOff>500063</xdr:colOff>
      <xdr:row>33</xdr:row>
      <xdr:rowOff>11905</xdr:rowOff>
    </xdr:from>
    <xdr:to>
      <xdr:col>13</xdr:col>
      <xdr:colOff>681038</xdr:colOff>
      <xdr:row>61</xdr:row>
      <xdr:rowOff>135730</xdr:rowOff>
    </xdr:to>
    <xdr:pic>
      <xdr:nvPicPr>
        <xdr:cNvPr id="20482"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500063" y="5512593"/>
          <a:ext cx="9158288" cy="4791075"/>
        </a:xfrm>
        <a:prstGeom prst="rect">
          <a:avLst/>
        </a:prstGeom>
        <a:ln w="12700" cap="sq">
          <a:solidFill>
            <a:sysClr val="windowText" lastClr="000000"/>
          </a:solidFill>
          <a:prstDash val="solid"/>
          <a:miter lim="800000"/>
        </a:ln>
        <a:effectLst/>
      </xdr:spPr>
    </xdr:pic>
    <xdr:clientData/>
  </xdr:twoCellAnchor>
  <xdr:twoCellAnchor>
    <xdr:from>
      <xdr:col>3</xdr:col>
      <xdr:colOff>95250</xdr:colOff>
      <xdr:row>35</xdr:row>
      <xdr:rowOff>119062</xdr:rowOff>
    </xdr:from>
    <xdr:to>
      <xdr:col>6</xdr:col>
      <xdr:colOff>47625</xdr:colOff>
      <xdr:row>37</xdr:row>
      <xdr:rowOff>1687</xdr:rowOff>
    </xdr:to>
    <xdr:sp macro="" textlink="">
      <xdr:nvSpPr>
        <xdr:cNvPr id="21" name="正方形/長方形 20"/>
        <xdr:cNvSpPr/>
      </xdr:nvSpPr>
      <xdr:spPr>
        <a:xfrm>
          <a:off x="2166938" y="5619750"/>
          <a:ext cx="2024062" cy="216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3</xdr:col>
      <xdr:colOff>92868</xdr:colOff>
      <xdr:row>37</xdr:row>
      <xdr:rowOff>57150</xdr:rowOff>
    </xdr:from>
    <xdr:to>
      <xdr:col>12</xdr:col>
      <xdr:colOff>452437</xdr:colOff>
      <xdr:row>38</xdr:row>
      <xdr:rowOff>106463</xdr:rowOff>
    </xdr:to>
    <xdr:sp macro="" textlink="">
      <xdr:nvSpPr>
        <xdr:cNvPr id="22" name="正方形/長方形 21"/>
        <xdr:cNvSpPr/>
      </xdr:nvSpPr>
      <xdr:spPr>
        <a:xfrm>
          <a:off x="2164556" y="5891213"/>
          <a:ext cx="6574631" cy="216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0</xdr:col>
      <xdr:colOff>500063</xdr:colOff>
      <xdr:row>67</xdr:row>
      <xdr:rowOff>23812</xdr:rowOff>
    </xdr:from>
    <xdr:to>
      <xdr:col>13</xdr:col>
      <xdr:colOff>681038</xdr:colOff>
      <xdr:row>95</xdr:row>
      <xdr:rowOff>147637</xdr:rowOff>
    </xdr:to>
    <xdr:pic>
      <xdr:nvPicPr>
        <xdr:cNvPr id="23"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500063" y="11025187"/>
          <a:ext cx="9158288" cy="4791075"/>
        </a:xfrm>
        <a:prstGeom prst="rect">
          <a:avLst/>
        </a:prstGeom>
        <a:ln w="12700" cap="sq">
          <a:solidFill>
            <a:sysClr val="windowText" lastClr="000000"/>
          </a:solidFill>
          <a:prstDash val="solid"/>
          <a:miter lim="800000"/>
        </a:ln>
        <a:effectLst/>
      </xdr:spPr>
    </xdr:pic>
    <xdr:clientData/>
  </xdr:twoCellAnchor>
  <xdr:twoCellAnchor>
    <xdr:from>
      <xdr:col>10</xdr:col>
      <xdr:colOff>533400</xdr:colOff>
      <xdr:row>76</xdr:row>
      <xdr:rowOff>104775</xdr:rowOff>
    </xdr:from>
    <xdr:to>
      <xdr:col>12</xdr:col>
      <xdr:colOff>452438</xdr:colOff>
      <xdr:row>79</xdr:row>
      <xdr:rowOff>142875</xdr:rowOff>
    </xdr:to>
    <xdr:sp macro="" textlink="">
      <xdr:nvSpPr>
        <xdr:cNvPr id="24" name="正方形/長方形 23"/>
        <xdr:cNvSpPr/>
      </xdr:nvSpPr>
      <xdr:spPr>
        <a:xfrm>
          <a:off x="7439025" y="12915900"/>
          <a:ext cx="1300163" cy="53816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101</xdr:row>
      <xdr:rowOff>95248</xdr:rowOff>
    </xdr:from>
    <xdr:to>
      <xdr:col>16</xdr:col>
      <xdr:colOff>676275</xdr:colOff>
      <xdr:row>120</xdr:row>
      <xdr:rowOff>142872</xdr:rowOff>
    </xdr:to>
    <xdr:pic>
      <xdr:nvPicPr>
        <xdr:cNvPr id="20483" name="Picture 3"/>
        <xdr:cNvPicPr>
          <a:picLocks noChangeAspect="1" noChangeArrowheads="1"/>
        </xdr:cNvPicPr>
      </xdr:nvPicPr>
      <xdr:blipFill>
        <a:blip xmlns:r="http://schemas.openxmlformats.org/officeDocument/2006/relationships" r:embed="rId3" cstate="print"/>
        <a:srcRect/>
        <a:stretch>
          <a:fillRect/>
        </a:stretch>
      </xdr:blipFill>
      <xdr:spPr bwMode="auto">
        <a:xfrm>
          <a:off x="690563" y="18811873"/>
          <a:ext cx="11034712" cy="3214687"/>
        </a:xfrm>
        <a:prstGeom prst="rect">
          <a:avLst/>
        </a:prstGeom>
        <a:ln w="12700" cap="sq">
          <a:solidFill>
            <a:srgbClr val="000000"/>
          </a:solidFill>
          <a:prstDash val="solid"/>
          <a:miter lim="800000"/>
        </a:ln>
        <a:effectLst/>
      </xdr:spPr>
    </xdr:pic>
    <xdr:clientData/>
  </xdr:twoCellAnchor>
  <xdr:twoCellAnchor editAs="oneCell">
    <xdr:from>
      <xdr:col>2</xdr:col>
      <xdr:colOff>535781</xdr:colOff>
      <xdr:row>112</xdr:row>
      <xdr:rowOff>-1</xdr:rowOff>
    </xdr:from>
    <xdr:to>
      <xdr:col>17</xdr:col>
      <xdr:colOff>545305</xdr:colOff>
      <xdr:row>132</xdr:row>
      <xdr:rowOff>133349</xdr:rowOff>
    </xdr:to>
    <xdr:pic>
      <xdr:nvPicPr>
        <xdr:cNvPr id="20484" name="Picture 4"/>
        <xdr:cNvPicPr>
          <a:picLocks noChangeAspect="1" noChangeArrowheads="1"/>
        </xdr:cNvPicPr>
      </xdr:nvPicPr>
      <xdr:blipFill>
        <a:blip xmlns:r="http://schemas.openxmlformats.org/officeDocument/2006/relationships" r:embed="rId4" cstate="print"/>
        <a:srcRect/>
        <a:stretch>
          <a:fillRect/>
        </a:stretch>
      </xdr:blipFill>
      <xdr:spPr bwMode="auto">
        <a:xfrm>
          <a:off x="1916906" y="20550187"/>
          <a:ext cx="10367962" cy="3467100"/>
        </a:xfrm>
        <a:prstGeom prst="rect">
          <a:avLst/>
        </a:prstGeom>
        <a:ln w="12700" cap="sq">
          <a:solidFill>
            <a:srgbClr val="000000"/>
          </a:solidFill>
          <a:prstDash val="solid"/>
          <a:miter lim="800000"/>
        </a:ln>
        <a:effectLst/>
      </xdr:spPr>
    </xdr:pic>
    <xdr:clientData/>
  </xdr:twoCellAnchor>
  <xdr:twoCellAnchor editAs="oneCell">
    <xdr:from>
      <xdr:col>1</xdr:col>
      <xdr:colOff>9525</xdr:colOff>
      <xdr:row>139</xdr:row>
      <xdr:rowOff>21429</xdr:rowOff>
    </xdr:from>
    <xdr:to>
      <xdr:col>16</xdr:col>
      <xdr:colOff>685800</xdr:colOff>
      <xdr:row>158</xdr:row>
      <xdr:rowOff>69053</xdr:rowOff>
    </xdr:to>
    <xdr:pic>
      <xdr:nvPicPr>
        <xdr:cNvPr id="27" name="Picture 3"/>
        <xdr:cNvPicPr>
          <a:picLocks noChangeAspect="1" noChangeArrowheads="1"/>
        </xdr:cNvPicPr>
      </xdr:nvPicPr>
      <xdr:blipFill>
        <a:blip xmlns:r="http://schemas.openxmlformats.org/officeDocument/2006/relationships" r:embed="rId3" cstate="print"/>
        <a:srcRect/>
        <a:stretch>
          <a:fillRect/>
        </a:stretch>
      </xdr:blipFill>
      <xdr:spPr bwMode="auto">
        <a:xfrm>
          <a:off x="700088" y="24905492"/>
          <a:ext cx="11034712" cy="3214687"/>
        </a:xfrm>
        <a:prstGeom prst="rect">
          <a:avLst/>
        </a:prstGeom>
        <a:ln w="12700" cap="sq">
          <a:solidFill>
            <a:srgbClr val="000000"/>
          </a:solidFill>
          <a:prstDash val="solid"/>
          <a:miter lim="800000"/>
        </a:ln>
        <a:effectLst/>
      </xdr:spPr>
    </xdr:pic>
    <xdr:clientData/>
  </xdr:twoCellAnchor>
  <xdr:twoCellAnchor editAs="oneCell">
    <xdr:from>
      <xdr:col>2</xdr:col>
      <xdr:colOff>535781</xdr:colOff>
      <xdr:row>148</xdr:row>
      <xdr:rowOff>69054</xdr:rowOff>
    </xdr:from>
    <xdr:to>
      <xdr:col>17</xdr:col>
      <xdr:colOff>545305</xdr:colOff>
      <xdr:row>169</xdr:row>
      <xdr:rowOff>35717</xdr:rowOff>
    </xdr:to>
    <xdr:pic>
      <xdr:nvPicPr>
        <xdr:cNvPr id="28" name="Picture 4"/>
        <xdr:cNvPicPr>
          <a:picLocks noChangeAspect="1" noChangeArrowheads="1"/>
        </xdr:cNvPicPr>
      </xdr:nvPicPr>
      <xdr:blipFill>
        <a:blip xmlns:r="http://schemas.openxmlformats.org/officeDocument/2006/relationships" r:embed="rId4" cstate="print"/>
        <a:srcRect/>
        <a:stretch>
          <a:fillRect/>
        </a:stretch>
      </xdr:blipFill>
      <xdr:spPr bwMode="auto">
        <a:xfrm>
          <a:off x="1916906" y="26453304"/>
          <a:ext cx="10367962" cy="3467100"/>
        </a:xfrm>
        <a:prstGeom prst="rect">
          <a:avLst/>
        </a:prstGeom>
        <a:ln w="12700" cap="sq">
          <a:solidFill>
            <a:srgbClr val="000000"/>
          </a:solidFill>
          <a:prstDash val="solid"/>
          <a:miter lim="800000"/>
        </a:ln>
        <a:effectLst/>
      </xdr:spPr>
    </xdr:pic>
    <xdr:clientData/>
  </xdr:twoCellAnchor>
  <xdr:twoCellAnchor>
    <xdr:from>
      <xdr:col>6</xdr:col>
      <xdr:colOff>650081</xdr:colOff>
      <xdr:row>139</xdr:row>
      <xdr:rowOff>102394</xdr:rowOff>
    </xdr:from>
    <xdr:to>
      <xdr:col>8</xdr:col>
      <xdr:colOff>35719</xdr:colOff>
      <xdr:row>141</xdr:row>
      <xdr:rowOff>107157</xdr:rowOff>
    </xdr:to>
    <xdr:sp macro="" textlink="">
      <xdr:nvSpPr>
        <xdr:cNvPr id="29" name="正方形/長方形 28"/>
        <xdr:cNvSpPr/>
      </xdr:nvSpPr>
      <xdr:spPr>
        <a:xfrm>
          <a:off x="4793456" y="24986457"/>
          <a:ext cx="766763" cy="33813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xdr:col>
      <xdr:colOff>659606</xdr:colOff>
      <xdr:row>140</xdr:row>
      <xdr:rowOff>64294</xdr:rowOff>
    </xdr:from>
    <xdr:to>
      <xdr:col>6</xdr:col>
      <xdr:colOff>71438</xdr:colOff>
      <xdr:row>141</xdr:row>
      <xdr:rowOff>142875</xdr:rowOff>
    </xdr:to>
    <xdr:sp macro="" textlink="">
      <xdr:nvSpPr>
        <xdr:cNvPr id="30" name="正方形/長方形 29"/>
        <xdr:cNvSpPr/>
      </xdr:nvSpPr>
      <xdr:spPr>
        <a:xfrm>
          <a:off x="1350169" y="25115044"/>
          <a:ext cx="2864644" cy="24526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177</xdr:row>
      <xdr:rowOff>107151</xdr:rowOff>
    </xdr:from>
    <xdr:to>
      <xdr:col>12</xdr:col>
      <xdr:colOff>276225</xdr:colOff>
      <xdr:row>188</xdr:row>
      <xdr:rowOff>116676</xdr:rowOff>
    </xdr:to>
    <xdr:pic>
      <xdr:nvPicPr>
        <xdr:cNvPr id="20485" name="Picture 5"/>
        <xdr:cNvPicPr>
          <a:picLocks noChangeAspect="1" noChangeArrowheads="1"/>
        </xdr:cNvPicPr>
      </xdr:nvPicPr>
      <xdr:blipFill>
        <a:blip xmlns:r="http://schemas.openxmlformats.org/officeDocument/2006/relationships" r:embed="rId5" cstate="print"/>
        <a:srcRect/>
        <a:stretch>
          <a:fillRect/>
        </a:stretch>
      </xdr:blipFill>
      <xdr:spPr bwMode="auto">
        <a:xfrm>
          <a:off x="690563" y="29729901"/>
          <a:ext cx="7872412" cy="1843087"/>
        </a:xfrm>
        <a:prstGeom prst="rect">
          <a:avLst/>
        </a:prstGeom>
        <a:ln w="12700" cap="sq">
          <a:solidFill>
            <a:srgbClr val="000000"/>
          </a:solidFill>
          <a:prstDash val="solid"/>
          <a:miter lim="800000"/>
        </a:ln>
        <a:effectLst/>
      </xdr:spPr>
    </xdr:pic>
    <xdr:clientData/>
  </xdr:twoCellAnchor>
  <xdr:twoCellAnchor>
    <xdr:from>
      <xdr:col>1</xdr:col>
      <xdr:colOff>111919</xdr:colOff>
      <xdr:row>179</xdr:row>
      <xdr:rowOff>135729</xdr:rowOff>
    </xdr:from>
    <xdr:to>
      <xdr:col>4</xdr:col>
      <xdr:colOff>381000</xdr:colOff>
      <xdr:row>180</xdr:row>
      <xdr:rowOff>166685</xdr:rowOff>
    </xdr:to>
    <xdr:sp macro="" textlink="">
      <xdr:nvSpPr>
        <xdr:cNvPr id="32" name="正方形/長方形 31"/>
        <xdr:cNvSpPr/>
      </xdr:nvSpPr>
      <xdr:spPr>
        <a:xfrm>
          <a:off x="802482" y="30091854"/>
          <a:ext cx="2340768" cy="19764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2</xdr:col>
      <xdr:colOff>526257</xdr:colOff>
      <xdr:row>182</xdr:row>
      <xdr:rowOff>166684</xdr:rowOff>
    </xdr:from>
    <xdr:to>
      <xdr:col>3</xdr:col>
      <xdr:colOff>416718</xdr:colOff>
      <xdr:row>184</xdr:row>
      <xdr:rowOff>21428</xdr:rowOff>
    </xdr:to>
    <xdr:sp macro="" textlink="">
      <xdr:nvSpPr>
        <xdr:cNvPr id="33" name="正方形/長方形 32"/>
        <xdr:cNvSpPr/>
      </xdr:nvSpPr>
      <xdr:spPr>
        <a:xfrm>
          <a:off x="1907382" y="30622872"/>
          <a:ext cx="581024" cy="18811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2</xdr:col>
      <xdr:colOff>190496</xdr:colOff>
      <xdr:row>186</xdr:row>
      <xdr:rowOff>130980</xdr:rowOff>
    </xdr:from>
    <xdr:to>
      <xdr:col>12</xdr:col>
      <xdr:colOff>609596</xdr:colOff>
      <xdr:row>202</xdr:row>
      <xdr:rowOff>71438</xdr:rowOff>
    </xdr:to>
    <xdr:pic>
      <xdr:nvPicPr>
        <xdr:cNvPr id="20486" name="Picture 6"/>
        <xdr:cNvPicPr>
          <a:picLocks noChangeAspect="1" noChangeArrowheads="1"/>
        </xdr:cNvPicPr>
      </xdr:nvPicPr>
      <xdr:blipFill>
        <a:blip xmlns:r="http://schemas.openxmlformats.org/officeDocument/2006/relationships" r:embed="rId6" cstate="print"/>
        <a:srcRect b="24794"/>
        <a:stretch>
          <a:fillRect/>
        </a:stretch>
      </xdr:blipFill>
      <xdr:spPr bwMode="auto">
        <a:xfrm>
          <a:off x="1571621" y="31420605"/>
          <a:ext cx="7324725" cy="2607458"/>
        </a:xfrm>
        <a:prstGeom prst="rect">
          <a:avLst/>
        </a:prstGeom>
        <a:ln w="12700" cap="sq">
          <a:solidFill>
            <a:srgbClr val="000000"/>
          </a:solidFill>
          <a:prstDash val="solid"/>
          <a:miter lim="800000"/>
        </a:ln>
        <a:effectLst/>
      </xdr:spPr>
    </xdr:pic>
    <xdr:clientData/>
  </xdr:twoCellAnchor>
  <xdr:twoCellAnchor>
    <xdr:from>
      <xdr:col>2</xdr:col>
      <xdr:colOff>326228</xdr:colOff>
      <xdr:row>195</xdr:row>
      <xdr:rowOff>40465</xdr:rowOff>
    </xdr:from>
    <xdr:to>
      <xdr:col>5</xdr:col>
      <xdr:colOff>511964</xdr:colOff>
      <xdr:row>202</xdr:row>
      <xdr:rowOff>107156</xdr:rowOff>
    </xdr:to>
    <xdr:sp macro="" textlink="">
      <xdr:nvSpPr>
        <xdr:cNvPr id="35" name="正方形/長方形 34"/>
        <xdr:cNvSpPr/>
      </xdr:nvSpPr>
      <xdr:spPr>
        <a:xfrm>
          <a:off x="1707353" y="32830278"/>
          <a:ext cx="2257424" cy="123350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209</xdr:row>
      <xdr:rowOff>35715</xdr:rowOff>
    </xdr:from>
    <xdr:to>
      <xdr:col>11</xdr:col>
      <xdr:colOff>419100</xdr:colOff>
      <xdr:row>229</xdr:row>
      <xdr:rowOff>83340</xdr:rowOff>
    </xdr:to>
    <xdr:pic>
      <xdr:nvPicPr>
        <xdr:cNvPr id="20487" name="Picture 7"/>
        <xdr:cNvPicPr>
          <a:picLocks noChangeAspect="1" noChangeArrowheads="1"/>
        </xdr:cNvPicPr>
      </xdr:nvPicPr>
      <xdr:blipFill>
        <a:blip xmlns:r="http://schemas.openxmlformats.org/officeDocument/2006/relationships" r:embed="rId7" cstate="print"/>
        <a:srcRect/>
        <a:stretch>
          <a:fillRect/>
        </a:stretch>
      </xdr:blipFill>
      <xdr:spPr bwMode="auto">
        <a:xfrm>
          <a:off x="690563" y="36230715"/>
          <a:ext cx="7324725" cy="3381375"/>
        </a:xfrm>
        <a:prstGeom prst="rect">
          <a:avLst/>
        </a:prstGeom>
        <a:ln w="12700" cap="sq">
          <a:solidFill>
            <a:srgbClr val="000000"/>
          </a:solidFill>
          <a:prstDash val="solid"/>
          <a:miter lim="800000"/>
        </a:ln>
        <a:effectLst/>
      </xdr:spPr>
    </xdr:pic>
    <xdr:clientData/>
  </xdr:twoCellAnchor>
  <xdr:twoCellAnchor>
    <xdr:from>
      <xdr:col>3</xdr:col>
      <xdr:colOff>431007</xdr:colOff>
      <xdr:row>214</xdr:row>
      <xdr:rowOff>83336</xdr:rowOff>
    </xdr:from>
    <xdr:to>
      <xdr:col>4</xdr:col>
      <xdr:colOff>321469</xdr:colOff>
      <xdr:row>215</xdr:row>
      <xdr:rowOff>104768</xdr:rowOff>
    </xdr:to>
    <xdr:sp macro="" textlink="">
      <xdr:nvSpPr>
        <xdr:cNvPr id="37" name="正方形/長方形 36"/>
        <xdr:cNvSpPr/>
      </xdr:nvSpPr>
      <xdr:spPr>
        <a:xfrm>
          <a:off x="2502695" y="37111774"/>
          <a:ext cx="581024" cy="18811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6</xdr:col>
      <xdr:colOff>190500</xdr:colOff>
      <xdr:row>185</xdr:row>
      <xdr:rowOff>8</xdr:rowOff>
    </xdr:from>
    <xdr:to>
      <xdr:col>7</xdr:col>
      <xdr:colOff>571500</xdr:colOff>
      <xdr:row>189</xdr:row>
      <xdr:rowOff>47633</xdr:rowOff>
    </xdr:to>
    <xdr:sp macro="" textlink="">
      <xdr:nvSpPr>
        <xdr:cNvPr id="38" name="下矢印 37"/>
        <xdr:cNvSpPr/>
      </xdr:nvSpPr>
      <xdr:spPr>
        <a:xfrm>
          <a:off x="4333875" y="31122946"/>
          <a:ext cx="1071563" cy="71437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3</xdr:col>
      <xdr:colOff>654843</xdr:colOff>
      <xdr:row>221</xdr:row>
      <xdr:rowOff>35721</xdr:rowOff>
    </xdr:from>
    <xdr:to>
      <xdr:col>14</xdr:col>
      <xdr:colOff>373856</xdr:colOff>
      <xdr:row>236</xdr:row>
      <xdr:rowOff>130972</xdr:rowOff>
    </xdr:to>
    <xdr:pic>
      <xdr:nvPicPr>
        <xdr:cNvPr id="20488" name="Picture 8"/>
        <xdr:cNvPicPr>
          <a:picLocks noChangeAspect="1" noChangeArrowheads="1"/>
        </xdr:cNvPicPr>
      </xdr:nvPicPr>
      <xdr:blipFill>
        <a:blip xmlns:r="http://schemas.openxmlformats.org/officeDocument/2006/relationships" r:embed="rId8" cstate="print"/>
        <a:srcRect b="23023"/>
        <a:stretch>
          <a:fillRect/>
        </a:stretch>
      </xdr:blipFill>
      <xdr:spPr bwMode="auto">
        <a:xfrm>
          <a:off x="2726531" y="37969034"/>
          <a:ext cx="7315200" cy="2595563"/>
        </a:xfrm>
        <a:prstGeom prst="rect">
          <a:avLst/>
        </a:prstGeom>
        <a:ln w="12700" cap="sq">
          <a:solidFill>
            <a:srgbClr val="000000"/>
          </a:solidFill>
          <a:prstDash val="solid"/>
          <a:miter lim="800000"/>
        </a:ln>
        <a:effectLst/>
      </xdr:spPr>
    </xdr:pic>
    <xdr:clientData/>
  </xdr:twoCellAnchor>
  <xdr:twoCellAnchor>
    <xdr:from>
      <xdr:col>4</xdr:col>
      <xdr:colOff>61914</xdr:colOff>
      <xdr:row>224</xdr:row>
      <xdr:rowOff>130965</xdr:rowOff>
    </xdr:from>
    <xdr:to>
      <xdr:col>7</xdr:col>
      <xdr:colOff>297656</xdr:colOff>
      <xdr:row>226</xdr:row>
      <xdr:rowOff>23816</xdr:rowOff>
    </xdr:to>
    <xdr:sp macro="" textlink="">
      <xdr:nvSpPr>
        <xdr:cNvPr id="40" name="正方形/長方形 39"/>
        <xdr:cNvSpPr/>
      </xdr:nvSpPr>
      <xdr:spPr>
        <a:xfrm>
          <a:off x="2824164" y="38564340"/>
          <a:ext cx="2307430" cy="22622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5</xdr:col>
      <xdr:colOff>592931</xdr:colOff>
      <xdr:row>218</xdr:row>
      <xdr:rowOff>152406</xdr:rowOff>
    </xdr:from>
    <xdr:to>
      <xdr:col>7</xdr:col>
      <xdr:colOff>283369</xdr:colOff>
      <xdr:row>223</xdr:row>
      <xdr:rowOff>33343</xdr:rowOff>
    </xdr:to>
    <xdr:sp macro="" textlink="">
      <xdr:nvSpPr>
        <xdr:cNvPr id="41" name="下矢印 40"/>
        <xdr:cNvSpPr/>
      </xdr:nvSpPr>
      <xdr:spPr>
        <a:xfrm>
          <a:off x="4045744" y="37585656"/>
          <a:ext cx="1071563" cy="71437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243</xdr:row>
      <xdr:rowOff>0</xdr:rowOff>
    </xdr:from>
    <xdr:to>
      <xdr:col>11</xdr:col>
      <xdr:colOff>428625</xdr:colOff>
      <xdr:row>263</xdr:row>
      <xdr:rowOff>76200</xdr:rowOff>
    </xdr:to>
    <xdr:pic>
      <xdr:nvPicPr>
        <xdr:cNvPr id="20489" name="Picture 9"/>
        <xdr:cNvPicPr>
          <a:picLocks noChangeAspect="1" noChangeArrowheads="1"/>
        </xdr:cNvPicPr>
      </xdr:nvPicPr>
      <xdr:blipFill>
        <a:blip xmlns:r="http://schemas.openxmlformats.org/officeDocument/2006/relationships" r:embed="rId9" cstate="print"/>
        <a:srcRect/>
        <a:stretch>
          <a:fillRect/>
        </a:stretch>
      </xdr:blipFill>
      <xdr:spPr bwMode="auto">
        <a:xfrm>
          <a:off x="685800" y="44529375"/>
          <a:ext cx="7286625" cy="3505200"/>
        </a:xfrm>
        <a:prstGeom prst="rect">
          <a:avLst/>
        </a:prstGeom>
        <a:ln w="12700" cap="sq">
          <a:solidFill>
            <a:srgbClr val="000000"/>
          </a:solidFill>
          <a:prstDash val="solid"/>
          <a:miter lim="800000"/>
        </a:ln>
        <a:effectLst/>
      </xdr:spPr>
    </xdr:pic>
    <xdr:clientData/>
  </xdr:twoCellAnchor>
  <xdr:twoCellAnchor>
    <xdr:from>
      <xdr:col>6</xdr:col>
      <xdr:colOff>169070</xdr:colOff>
      <xdr:row>248</xdr:row>
      <xdr:rowOff>59523</xdr:rowOff>
    </xdr:from>
    <xdr:to>
      <xdr:col>7</xdr:col>
      <xdr:colOff>59531</xdr:colOff>
      <xdr:row>249</xdr:row>
      <xdr:rowOff>80956</xdr:rowOff>
    </xdr:to>
    <xdr:sp macro="" textlink="">
      <xdr:nvSpPr>
        <xdr:cNvPr id="43" name="正方形/長方形 42"/>
        <xdr:cNvSpPr/>
      </xdr:nvSpPr>
      <xdr:spPr>
        <a:xfrm>
          <a:off x="4312445" y="42898211"/>
          <a:ext cx="581024" cy="1881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4</xdr:col>
      <xdr:colOff>71438</xdr:colOff>
      <xdr:row>250</xdr:row>
      <xdr:rowOff>142875</xdr:rowOff>
    </xdr:from>
    <xdr:to>
      <xdr:col>14</xdr:col>
      <xdr:colOff>490538</xdr:colOff>
      <xdr:row>269</xdr:row>
      <xdr:rowOff>128588</xdr:rowOff>
    </xdr:to>
    <xdr:pic>
      <xdr:nvPicPr>
        <xdr:cNvPr id="20490" name="Picture 10"/>
        <xdr:cNvPicPr>
          <a:picLocks noChangeAspect="1" noChangeArrowheads="1"/>
        </xdr:cNvPicPr>
      </xdr:nvPicPr>
      <xdr:blipFill>
        <a:blip xmlns:r="http://schemas.openxmlformats.org/officeDocument/2006/relationships" r:embed="rId10" cstate="print"/>
        <a:srcRect/>
        <a:stretch>
          <a:fillRect/>
        </a:stretch>
      </xdr:blipFill>
      <xdr:spPr bwMode="auto">
        <a:xfrm>
          <a:off x="2833688" y="43314938"/>
          <a:ext cx="7324725" cy="3152775"/>
        </a:xfrm>
        <a:prstGeom prst="rect">
          <a:avLst/>
        </a:prstGeom>
        <a:ln w="12700" cap="sq">
          <a:solidFill>
            <a:srgbClr val="000000"/>
          </a:solidFill>
          <a:prstDash val="solid"/>
          <a:miter lim="800000"/>
        </a:ln>
        <a:effectLst/>
      </xdr:spPr>
    </xdr:pic>
    <xdr:clientData/>
  </xdr:twoCellAnchor>
  <xdr:twoCellAnchor>
    <xdr:from>
      <xdr:col>7</xdr:col>
      <xdr:colOff>402431</xdr:colOff>
      <xdr:row>249</xdr:row>
      <xdr:rowOff>140493</xdr:rowOff>
    </xdr:from>
    <xdr:to>
      <xdr:col>9</xdr:col>
      <xdr:colOff>92869</xdr:colOff>
      <xdr:row>254</xdr:row>
      <xdr:rowOff>21431</xdr:rowOff>
    </xdr:to>
    <xdr:sp macro="" textlink="">
      <xdr:nvSpPr>
        <xdr:cNvPr id="45" name="下矢印 44"/>
        <xdr:cNvSpPr/>
      </xdr:nvSpPr>
      <xdr:spPr>
        <a:xfrm>
          <a:off x="5236369" y="42979181"/>
          <a:ext cx="1071563" cy="71437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7</xdr:col>
      <xdr:colOff>538162</xdr:colOff>
      <xdr:row>258</xdr:row>
      <xdr:rowOff>107148</xdr:rowOff>
    </xdr:from>
    <xdr:to>
      <xdr:col>11</xdr:col>
      <xdr:colOff>-1</xdr:colOff>
      <xdr:row>269</xdr:row>
      <xdr:rowOff>95250</xdr:rowOff>
    </xdr:to>
    <xdr:sp macro="" textlink="">
      <xdr:nvSpPr>
        <xdr:cNvPr id="46" name="正方形/長方形 45"/>
        <xdr:cNvSpPr/>
      </xdr:nvSpPr>
      <xdr:spPr>
        <a:xfrm>
          <a:off x="5372100" y="44446023"/>
          <a:ext cx="2224087" cy="182166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11907</xdr:colOff>
      <xdr:row>283</xdr:row>
      <xdr:rowOff>130969</xdr:rowOff>
    </xdr:from>
    <xdr:to>
      <xdr:col>16</xdr:col>
      <xdr:colOff>326232</xdr:colOff>
      <xdr:row>307</xdr:row>
      <xdr:rowOff>97632</xdr:rowOff>
    </xdr:to>
    <xdr:pic>
      <xdr:nvPicPr>
        <xdr:cNvPr id="20491" name="Picture 11"/>
        <xdr:cNvPicPr>
          <a:picLocks noChangeAspect="1" noChangeArrowheads="1"/>
        </xdr:cNvPicPr>
      </xdr:nvPicPr>
      <xdr:blipFill>
        <a:blip xmlns:r="http://schemas.openxmlformats.org/officeDocument/2006/relationships" r:embed="rId11" cstate="print"/>
        <a:srcRect/>
        <a:stretch>
          <a:fillRect/>
        </a:stretch>
      </xdr:blipFill>
      <xdr:spPr bwMode="auto">
        <a:xfrm>
          <a:off x="702470" y="47374969"/>
          <a:ext cx="10672762" cy="3967163"/>
        </a:xfrm>
        <a:prstGeom prst="rect">
          <a:avLst/>
        </a:prstGeom>
        <a:ln w="12700" cap="sq">
          <a:solidFill>
            <a:srgbClr val="000000"/>
          </a:solidFill>
          <a:prstDash val="solid"/>
          <a:miter lim="800000"/>
        </a:ln>
        <a:effectLst/>
      </xdr:spPr>
    </xdr:pic>
    <xdr:clientData/>
  </xdr:twoCellAnchor>
  <xdr:twoCellAnchor>
    <xdr:from>
      <xdr:col>15</xdr:col>
      <xdr:colOff>240506</xdr:colOff>
      <xdr:row>296</xdr:row>
      <xdr:rowOff>107148</xdr:rowOff>
    </xdr:from>
    <xdr:to>
      <xdr:col>16</xdr:col>
      <xdr:colOff>333375</xdr:colOff>
      <xdr:row>307</xdr:row>
      <xdr:rowOff>95250</xdr:rowOff>
    </xdr:to>
    <xdr:sp macro="" textlink="">
      <xdr:nvSpPr>
        <xdr:cNvPr id="48" name="正方形/長方形 47"/>
        <xdr:cNvSpPr/>
      </xdr:nvSpPr>
      <xdr:spPr>
        <a:xfrm>
          <a:off x="10598944" y="49518086"/>
          <a:ext cx="783431" cy="182166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333375</xdr:colOff>
      <xdr:row>45</xdr:row>
      <xdr:rowOff>0</xdr:rowOff>
    </xdr:from>
    <xdr:to>
      <xdr:col>17</xdr:col>
      <xdr:colOff>333375</xdr:colOff>
      <xdr:row>70</xdr:row>
      <xdr:rowOff>133350</xdr:rowOff>
    </xdr:to>
    <xdr:pic>
      <xdr:nvPicPr>
        <xdr:cNvPr id="28133" name="Picture 27"/>
        <xdr:cNvPicPr>
          <a:picLocks noChangeAspect="1" noChangeArrowheads="1"/>
        </xdr:cNvPicPr>
      </xdr:nvPicPr>
      <xdr:blipFill>
        <a:blip xmlns:r="http://schemas.openxmlformats.org/officeDocument/2006/relationships" r:embed="rId1" cstate="print"/>
        <a:srcRect t="17184" b="27446"/>
        <a:stretch>
          <a:fillRect/>
        </a:stretch>
      </xdr:blipFill>
      <xdr:spPr bwMode="auto">
        <a:xfrm>
          <a:off x="1019175" y="18688050"/>
          <a:ext cx="10972800" cy="4419600"/>
        </a:xfrm>
        <a:prstGeom prst="rect">
          <a:avLst/>
        </a:prstGeom>
        <a:noFill/>
        <a:ln w="1">
          <a:noFill/>
          <a:miter lim="800000"/>
          <a:headEnd/>
          <a:tailEnd/>
        </a:ln>
      </xdr:spPr>
    </xdr:pic>
    <xdr:clientData/>
  </xdr:twoCellAnchor>
  <xdr:twoCellAnchor editAs="oneCell">
    <xdr:from>
      <xdr:col>1</xdr:col>
      <xdr:colOff>28575</xdr:colOff>
      <xdr:row>13</xdr:row>
      <xdr:rowOff>28575</xdr:rowOff>
    </xdr:from>
    <xdr:to>
      <xdr:col>17</xdr:col>
      <xdr:colOff>28575</xdr:colOff>
      <xdr:row>33</xdr:row>
      <xdr:rowOff>28575</xdr:rowOff>
    </xdr:to>
    <xdr:pic>
      <xdr:nvPicPr>
        <xdr:cNvPr id="28134" name="Picture 19"/>
        <xdr:cNvPicPr>
          <a:picLocks noChangeAspect="1" noChangeArrowheads="1"/>
        </xdr:cNvPicPr>
      </xdr:nvPicPr>
      <xdr:blipFill>
        <a:blip xmlns:r="http://schemas.openxmlformats.org/officeDocument/2006/relationships" r:embed="rId2" cstate="print"/>
        <a:srcRect t="16945" b="40094"/>
        <a:stretch>
          <a:fillRect/>
        </a:stretch>
      </xdr:blipFill>
      <xdr:spPr bwMode="auto">
        <a:xfrm>
          <a:off x="714375" y="13230225"/>
          <a:ext cx="10972800" cy="3429000"/>
        </a:xfrm>
        <a:prstGeom prst="rect">
          <a:avLst/>
        </a:prstGeom>
        <a:noFill/>
        <a:ln w="1">
          <a:noFill/>
          <a:miter lim="800000"/>
          <a:headEnd/>
          <a:tailEnd/>
        </a:ln>
      </xdr:spPr>
    </xdr:pic>
    <xdr:clientData/>
  </xdr:twoCellAnchor>
  <xdr:twoCellAnchor editAs="oneCell">
    <xdr:from>
      <xdr:col>1</xdr:col>
      <xdr:colOff>333375</xdr:colOff>
      <xdr:row>27</xdr:row>
      <xdr:rowOff>123825</xdr:rowOff>
    </xdr:from>
    <xdr:to>
      <xdr:col>17</xdr:col>
      <xdr:colOff>333375</xdr:colOff>
      <xdr:row>44</xdr:row>
      <xdr:rowOff>9525</xdr:rowOff>
    </xdr:to>
    <xdr:pic>
      <xdr:nvPicPr>
        <xdr:cNvPr id="28135" name="Picture 24"/>
        <xdr:cNvPicPr>
          <a:picLocks noChangeAspect="1" noChangeArrowheads="1"/>
        </xdr:cNvPicPr>
      </xdr:nvPicPr>
      <xdr:blipFill>
        <a:blip xmlns:r="http://schemas.openxmlformats.org/officeDocument/2006/relationships" r:embed="rId3" cstate="print"/>
        <a:srcRect t="16826" b="48091"/>
        <a:stretch>
          <a:fillRect/>
        </a:stretch>
      </xdr:blipFill>
      <xdr:spPr bwMode="auto">
        <a:xfrm>
          <a:off x="1019175" y="15725775"/>
          <a:ext cx="10972800" cy="2800350"/>
        </a:xfrm>
        <a:prstGeom prst="rect">
          <a:avLst/>
        </a:prstGeom>
        <a:noFill/>
        <a:ln w="1">
          <a:noFill/>
          <a:miter lim="800000"/>
          <a:headEnd/>
          <a:tailEnd/>
        </a:ln>
      </xdr:spPr>
    </xdr:pic>
    <xdr:clientData/>
  </xdr:twoCellAnchor>
  <xdr:twoCellAnchor>
    <xdr:from>
      <xdr:col>0</xdr:col>
      <xdr:colOff>314325</xdr:colOff>
      <xdr:row>0</xdr:row>
      <xdr:rowOff>104775</xdr:rowOff>
    </xdr:from>
    <xdr:to>
      <xdr:col>14</xdr:col>
      <xdr:colOff>76200</xdr:colOff>
      <xdr:row>10</xdr:row>
      <xdr:rowOff>38100</xdr:rowOff>
    </xdr:to>
    <xdr:sp macro="" textlink="">
      <xdr:nvSpPr>
        <xdr:cNvPr id="17421" name="Rectangle 13"/>
        <xdr:cNvSpPr>
          <a:spLocks noChangeArrowheads="1"/>
        </xdr:cNvSpPr>
      </xdr:nvSpPr>
      <xdr:spPr bwMode="auto">
        <a:xfrm>
          <a:off x="314325" y="11077575"/>
          <a:ext cx="9363075" cy="1647825"/>
        </a:xfrm>
        <a:prstGeom prst="rect">
          <a:avLst/>
        </a:prstGeom>
        <a:solidFill>
          <a:srgbClr val="FFFFFF"/>
        </a:solidFill>
        <a:ln w="9525">
          <a:solidFill>
            <a:srgbClr val="000000"/>
          </a:solidFill>
          <a:miter lim="800000"/>
          <a:headEnd/>
          <a:tailEnd/>
        </a:ln>
      </xdr:spPr>
      <xdr:txBody>
        <a:bodyPr vertOverflow="clip" wrap="square" lIns="36576" tIns="18288" rIns="0" bIns="0" anchor="t" upright="1"/>
        <a:lstStyle/>
        <a:p>
          <a:pPr algn="l" rtl="0">
            <a:defRPr sz="1000"/>
          </a:pPr>
          <a:r>
            <a:rPr lang="ja-JP" altLang="en-US" sz="1100" b="1" i="0" u="none" strike="noStrike" baseline="0">
              <a:solidFill>
                <a:srgbClr val="000000"/>
              </a:solidFill>
              <a:latin typeface="ＭＳ Ｐゴシック"/>
              <a:ea typeface="ＭＳ Ｐゴシック"/>
            </a:rPr>
            <a:t>①仕様書ページ数計測ツールについて</a:t>
          </a:r>
        </a:p>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r>
            <a:rPr lang="ja-JP" altLang="en-US" sz="1100" b="1" i="0" u="none" strike="noStrike" baseline="0">
              <a:solidFill>
                <a:srgbClr val="000000"/>
              </a:solidFill>
              <a:latin typeface="ＭＳ Ｐゴシック"/>
              <a:ea typeface="ＭＳ Ｐゴシック"/>
            </a:rPr>
            <a:t>仕様書の変更箇所を検知する仕組み</a:t>
          </a:r>
        </a:p>
        <a:p>
          <a:pPr algn="l" rtl="0">
            <a:defRPr sz="1000"/>
          </a:pPr>
          <a:r>
            <a:rPr lang="ja-JP" altLang="en-US" sz="1100" b="1" i="0" u="none" strike="noStrike" baseline="0">
              <a:solidFill>
                <a:srgbClr val="000000"/>
              </a:solidFill>
              <a:latin typeface="ＭＳ Ｐゴシック"/>
              <a:ea typeface="ＭＳ Ｐゴシック"/>
            </a:rPr>
            <a:t>・仕様書の欄外</a:t>
          </a:r>
          <a:r>
            <a:rPr lang="en-US" altLang="ja-JP" sz="1100" b="1" i="0" u="none" strike="noStrike" baseline="0">
              <a:solidFill>
                <a:srgbClr val="000000"/>
              </a:solidFill>
              <a:latin typeface="ＭＳ Ｐゴシック"/>
              <a:ea typeface="ＭＳ Ｐゴシック"/>
            </a:rPr>
            <a:t>(BJ</a:t>
          </a:r>
          <a:r>
            <a:rPr lang="ja-JP" altLang="en-US" sz="1100" b="1" i="0" u="none" strike="noStrike" baseline="0">
              <a:solidFill>
                <a:srgbClr val="000000"/>
              </a:solidFill>
              <a:latin typeface="ＭＳ Ｐゴシック"/>
              <a:ea typeface="ＭＳ Ｐゴシック"/>
            </a:rPr>
            <a:t>列より右辺</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のセルに改定履歴のバージョンを記載してください。</a:t>
          </a:r>
        </a:p>
        <a:p>
          <a:pPr algn="l" rtl="0">
            <a:defRPr sz="1000"/>
          </a:pPr>
          <a:r>
            <a:rPr lang="ja-JP" altLang="en-US" sz="1100" b="1" i="0" u="none" strike="noStrike" baseline="0">
              <a:solidFill>
                <a:srgbClr val="000000"/>
              </a:solidFill>
              <a:latin typeface="ＭＳ Ｐゴシック"/>
              <a:ea typeface="ＭＳ Ｐゴシック"/>
            </a:rPr>
            <a:t>　</a:t>
          </a:r>
          <a:r>
            <a:rPr lang="ja-JP" altLang="en-US" sz="1100" b="1" i="0" u="none" strike="noStrike" baseline="0">
              <a:solidFill>
                <a:srgbClr val="0000FF"/>
              </a:solidFill>
              <a:latin typeface="ＭＳ Ｐゴシック"/>
              <a:ea typeface="ＭＳ Ｐゴシック"/>
            </a:rPr>
            <a:t>行の追加、変更、削除</a:t>
          </a:r>
          <a:r>
            <a:rPr lang="ja-JP" altLang="en-US" sz="1100" b="1" i="0" u="none" strike="noStrike" baseline="0">
              <a:solidFill>
                <a:srgbClr val="000000"/>
              </a:solidFill>
              <a:latin typeface="ＭＳ Ｐゴシック"/>
              <a:ea typeface="ＭＳ Ｐゴシック"/>
            </a:rPr>
            <a:t>の場合</a:t>
          </a:r>
        </a:p>
        <a:p>
          <a:pPr algn="l" rtl="0">
            <a:defRPr sz="1000"/>
          </a:pPr>
          <a:r>
            <a:rPr lang="ja-JP" altLang="en-US" sz="1100" b="1" i="0" u="none" strike="noStrike" baseline="0">
              <a:solidFill>
                <a:srgbClr val="000000"/>
              </a:solidFill>
              <a:latin typeface="ＭＳ Ｐゴシック"/>
              <a:ea typeface="ＭＳ Ｐゴシック"/>
            </a:rPr>
            <a:t>　　バージョンの記載と同セルに</a:t>
          </a:r>
          <a:r>
            <a:rPr lang="en-US" altLang="ja-JP" sz="1100" b="1" i="0" u="none" strike="noStrike" baseline="0">
              <a:solidFill>
                <a:srgbClr val="FF0000"/>
              </a:solidFill>
              <a:latin typeface="ＭＳ Ｐゴシック"/>
              <a:ea typeface="ＭＳ Ｐゴシック"/>
            </a:rPr>
            <a:t>ADD</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行追加</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a:t>
          </a:r>
          <a:r>
            <a:rPr lang="en-US" altLang="ja-JP" sz="1100" b="1" i="0" u="none" strike="noStrike" baseline="0">
              <a:solidFill>
                <a:srgbClr val="FF0000"/>
              </a:solidFill>
              <a:latin typeface="ＭＳ Ｐゴシック"/>
              <a:ea typeface="ＭＳ Ｐゴシック"/>
            </a:rPr>
            <a:t>UPD</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行変更</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a:t>
          </a:r>
          <a:r>
            <a:rPr lang="en-US" altLang="ja-JP" sz="1100" b="1" i="0" u="none" strike="noStrike" baseline="0">
              <a:solidFill>
                <a:srgbClr val="FF0000"/>
              </a:solidFill>
              <a:latin typeface="ＭＳ Ｐゴシック"/>
              <a:ea typeface="ＭＳ Ｐゴシック"/>
            </a:rPr>
            <a:t>DEL</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行削除</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を記載していただくとより詳細な変更を判定します。</a:t>
          </a:r>
        </a:p>
        <a:p>
          <a:pPr algn="l" rtl="0">
            <a:defRPr sz="1000"/>
          </a:pPr>
          <a:r>
            <a:rPr lang="ja-JP" altLang="en-US" sz="1100" b="1" i="0" u="none" strike="noStrike" baseline="0">
              <a:solidFill>
                <a:srgbClr val="000000"/>
              </a:solidFill>
              <a:latin typeface="ＭＳ Ｐゴシック"/>
              <a:ea typeface="ＭＳ Ｐゴシック"/>
            </a:rPr>
            <a:t>　</a:t>
          </a:r>
          <a:r>
            <a:rPr lang="ja-JP" altLang="en-US" sz="1100" b="1" i="0" u="none" strike="noStrike" baseline="0">
              <a:solidFill>
                <a:srgbClr val="0000FF"/>
              </a:solidFill>
              <a:latin typeface="ＭＳ Ｐゴシック"/>
              <a:ea typeface="ＭＳ Ｐゴシック"/>
            </a:rPr>
            <a:t>シートの追加、削除</a:t>
          </a:r>
          <a:r>
            <a:rPr lang="ja-JP" altLang="en-US" sz="1100" b="1" i="0" u="none" strike="noStrike" baseline="0">
              <a:solidFill>
                <a:srgbClr val="000000"/>
              </a:solidFill>
              <a:latin typeface="ＭＳ Ｐゴシック"/>
              <a:ea typeface="ＭＳ Ｐゴシック"/>
            </a:rPr>
            <a:t>の場合</a:t>
          </a:r>
        </a:p>
        <a:p>
          <a:pPr algn="l" rtl="0">
            <a:defRPr sz="1000"/>
          </a:pPr>
          <a:r>
            <a:rPr lang="ja-JP" altLang="en-US" sz="1100" b="1" i="0" u="none" strike="noStrike" baseline="0">
              <a:solidFill>
                <a:srgbClr val="000000"/>
              </a:solidFill>
              <a:latin typeface="ＭＳ Ｐゴシック"/>
              <a:ea typeface="ＭＳ Ｐゴシック"/>
            </a:rPr>
            <a:t>　　仕様書の欄外</a:t>
          </a:r>
          <a:r>
            <a:rPr lang="en-US" altLang="ja-JP" sz="1100" b="1" i="0" u="none" strike="noStrike" baseline="0">
              <a:solidFill>
                <a:srgbClr val="000000"/>
              </a:solidFill>
              <a:latin typeface="ＭＳ Ｐゴシック"/>
              <a:ea typeface="ＭＳ Ｐゴシック"/>
            </a:rPr>
            <a:t>(BJ</a:t>
          </a:r>
          <a:r>
            <a:rPr lang="ja-JP" altLang="en-US" sz="1100" b="1" i="0" u="none" strike="noStrike" baseline="0">
              <a:solidFill>
                <a:srgbClr val="000000"/>
              </a:solidFill>
              <a:latin typeface="ＭＳ Ｐゴシック"/>
              <a:ea typeface="ＭＳ Ｐゴシック"/>
            </a:rPr>
            <a:t>列より右辺</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の先頭セルに</a:t>
          </a:r>
          <a:r>
            <a:rPr lang="en-US" altLang="ja-JP" sz="1100" b="1" i="0" u="none" strike="noStrike" baseline="0">
              <a:solidFill>
                <a:srgbClr val="FF0000"/>
              </a:solidFill>
              <a:latin typeface="ＭＳ Ｐゴシック"/>
              <a:ea typeface="ＭＳ Ｐゴシック"/>
            </a:rPr>
            <a:t>CREATE</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シート追加</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a:t>
          </a:r>
          <a:r>
            <a:rPr lang="en-US" altLang="ja-JP" sz="1100" b="1" i="0" u="none" strike="noStrike" baseline="0">
              <a:solidFill>
                <a:srgbClr val="FF0000"/>
              </a:solidFill>
              <a:latin typeface="ＭＳ Ｐゴシック"/>
              <a:ea typeface="ＭＳ Ｐゴシック"/>
            </a:rPr>
            <a:t>DROP</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シート削除</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を記載してください</a:t>
          </a:r>
        </a:p>
      </xdr:txBody>
    </xdr:sp>
    <xdr:clientData/>
  </xdr:twoCellAnchor>
  <xdr:twoCellAnchor>
    <xdr:from>
      <xdr:col>15</xdr:col>
      <xdr:colOff>171450</xdr:colOff>
      <xdr:row>65</xdr:row>
      <xdr:rowOff>57150</xdr:rowOff>
    </xdr:from>
    <xdr:to>
      <xdr:col>16</xdr:col>
      <xdr:colOff>285750</xdr:colOff>
      <xdr:row>69</xdr:row>
      <xdr:rowOff>104775</xdr:rowOff>
    </xdr:to>
    <xdr:sp macro="" textlink="">
      <xdr:nvSpPr>
        <xdr:cNvPr id="28145" name="Oval 15"/>
        <xdr:cNvSpPr>
          <a:spLocks noChangeArrowheads="1"/>
        </xdr:cNvSpPr>
      </xdr:nvSpPr>
      <xdr:spPr bwMode="auto">
        <a:xfrm>
          <a:off x="10458450" y="22174200"/>
          <a:ext cx="800100" cy="733425"/>
        </a:xfrm>
        <a:prstGeom prst="ellipse">
          <a:avLst/>
        </a:prstGeom>
        <a:noFill/>
        <a:ln w="9525">
          <a:solidFill>
            <a:srgbClr val="FF0000"/>
          </a:solidFill>
          <a:round/>
          <a:headEnd/>
          <a:tailEnd/>
        </a:ln>
      </xdr:spPr>
    </xdr:sp>
    <xdr:clientData/>
  </xdr:twoCellAnchor>
  <xdr:twoCellAnchor>
    <xdr:from>
      <xdr:col>2</xdr:col>
      <xdr:colOff>552450</xdr:colOff>
      <xdr:row>21</xdr:row>
      <xdr:rowOff>0</xdr:rowOff>
    </xdr:from>
    <xdr:to>
      <xdr:col>3</xdr:col>
      <xdr:colOff>628650</xdr:colOff>
      <xdr:row>21</xdr:row>
      <xdr:rowOff>133350</xdr:rowOff>
    </xdr:to>
    <xdr:sp macro="" textlink="">
      <xdr:nvSpPr>
        <xdr:cNvPr id="28146" name="Oval 16"/>
        <xdr:cNvSpPr>
          <a:spLocks noChangeArrowheads="1"/>
        </xdr:cNvSpPr>
      </xdr:nvSpPr>
      <xdr:spPr bwMode="auto">
        <a:xfrm>
          <a:off x="1924050" y="14573250"/>
          <a:ext cx="762000" cy="133350"/>
        </a:xfrm>
        <a:prstGeom prst="ellipse">
          <a:avLst/>
        </a:prstGeom>
        <a:noFill/>
        <a:ln w="9525">
          <a:solidFill>
            <a:srgbClr val="FF0000"/>
          </a:solidFill>
          <a:round/>
          <a:headEnd/>
          <a:tailEnd/>
        </a:ln>
      </xdr:spPr>
    </xdr:sp>
    <xdr:clientData/>
  </xdr:twoCellAnchor>
  <xdr:twoCellAnchor>
    <xdr:from>
      <xdr:col>15</xdr:col>
      <xdr:colOff>152400</xdr:colOff>
      <xdr:row>28</xdr:row>
      <xdr:rowOff>76200</xdr:rowOff>
    </xdr:from>
    <xdr:to>
      <xdr:col>16</xdr:col>
      <xdr:colOff>266700</xdr:colOff>
      <xdr:row>30</xdr:row>
      <xdr:rowOff>47625</xdr:rowOff>
    </xdr:to>
    <xdr:sp macro="" textlink="">
      <xdr:nvSpPr>
        <xdr:cNvPr id="28147" name="Oval 22"/>
        <xdr:cNvSpPr>
          <a:spLocks noChangeArrowheads="1"/>
        </xdr:cNvSpPr>
      </xdr:nvSpPr>
      <xdr:spPr bwMode="auto">
        <a:xfrm>
          <a:off x="10439400" y="15849600"/>
          <a:ext cx="800100" cy="314325"/>
        </a:xfrm>
        <a:prstGeom prst="ellipse">
          <a:avLst/>
        </a:prstGeom>
        <a:noFill/>
        <a:ln w="9525">
          <a:solidFill>
            <a:srgbClr val="FF0000"/>
          </a:solidFill>
          <a:round/>
          <a:headEnd/>
          <a:tailEnd/>
        </a:ln>
      </xdr:spPr>
    </xdr:sp>
    <xdr:clientData/>
  </xdr:twoCellAnchor>
  <xdr:twoCellAnchor>
    <xdr:from>
      <xdr:col>12</xdr:col>
      <xdr:colOff>390525</xdr:colOff>
      <xdr:row>32</xdr:row>
      <xdr:rowOff>38100</xdr:rowOff>
    </xdr:from>
    <xdr:to>
      <xdr:col>16</xdr:col>
      <xdr:colOff>123825</xdr:colOff>
      <xdr:row>36</xdr:row>
      <xdr:rowOff>0</xdr:rowOff>
    </xdr:to>
    <xdr:sp macro="" textlink="">
      <xdr:nvSpPr>
        <xdr:cNvPr id="17434" name="AutoShape 26"/>
        <xdr:cNvSpPr>
          <a:spLocks noChangeArrowheads="1"/>
        </xdr:cNvSpPr>
      </xdr:nvSpPr>
      <xdr:spPr bwMode="auto">
        <a:xfrm>
          <a:off x="8620125" y="16497300"/>
          <a:ext cx="2476500" cy="647700"/>
        </a:xfrm>
        <a:prstGeom prst="wedgeRoundRectCallout">
          <a:avLst>
            <a:gd name="adj1" fmla="val 27032"/>
            <a:gd name="adj2" fmla="val -97171"/>
            <a:gd name="adj3" fmla="val 16667"/>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シート追加、削除の記載</a:t>
          </a:r>
        </a:p>
      </xdr:txBody>
    </xdr:sp>
    <xdr:clientData/>
  </xdr:twoCellAnchor>
  <xdr:twoCellAnchor>
    <xdr:from>
      <xdr:col>12</xdr:col>
      <xdr:colOff>47625</xdr:colOff>
      <xdr:row>57</xdr:row>
      <xdr:rowOff>38100</xdr:rowOff>
    </xdr:from>
    <xdr:to>
      <xdr:col>15</xdr:col>
      <xdr:colOff>466725</xdr:colOff>
      <xdr:row>61</xdr:row>
      <xdr:rowOff>0</xdr:rowOff>
    </xdr:to>
    <xdr:sp macro="" textlink="">
      <xdr:nvSpPr>
        <xdr:cNvPr id="17436" name="AutoShape 28"/>
        <xdr:cNvSpPr>
          <a:spLocks noChangeArrowheads="1"/>
        </xdr:cNvSpPr>
      </xdr:nvSpPr>
      <xdr:spPr bwMode="auto">
        <a:xfrm>
          <a:off x="8277225" y="20783550"/>
          <a:ext cx="2476500" cy="647700"/>
        </a:xfrm>
        <a:prstGeom prst="wedgeRoundRectCallout">
          <a:avLst>
            <a:gd name="adj1" fmla="val 42343"/>
            <a:gd name="adj2" fmla="val 155662"/>
            <a:gd name="adj3" fmla="val 16667"/>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行追加、行変更、行削除の記載</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638175</xdr:colOff>
      <xdr:row>14</xdr:row>
      <xdr:rowOff>19050</xdr:rowOff>
    </xdr:from>
    <xdr:to>
      <xdr:col>9</xdr:col>
      <xdr:colOff>9525</xdr:colOff>
      <xdr:row>38</xdr:row>
      <xdr:rowOff>161925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009775" y="2419350"/>
          <a:ext cx="4171950" cy="4257675"/>
        </a:xfrm>
        <a:prstGeom prst="rect">
          <a:avLst/>
        </a:prstGeom>
        <a:noFill/>
        <a:ln w="1">
          <a:noFill/>
          <a:miter lim="800000"/>
          <a:headEnd/>
          <a:tailEnd type="none" w="med" len="med"/>
        </a:ln>
        <a:effectLst/>
      </xdr:spPr>
    </xdr:pic>
    <xdr:clientData/>
  </xdr:twoCellAnchor>
  <xdr:twoCellAnchor>
    <xdr:from>
      <xdr:col>5</xdr:col>
      <xdr:colOff>219075</xdr:colOff>
      <xdr:row>36</xdr:row>
      <xdr:rowOff>133350</xdr:rowOff>
    </xdr:from>
    <xdr:to>
      <xdr:col>7</xdr:col>
      <xdr:colOff>314325</xdr:colOff>
      <xdr:row>39</xdr:row>
      <xdr:rowOff>66675</xdr:rowOff>
    </xdr:to>
    <xdr:sp macro="" textlink="">
      <xdr:nvSpPr>
        <xdr:cNvPr id="3" name="円/楕円 2"/>
        <xdr:cNvSpPr/>
      </xdr:nvSpPr>
      <xdr:spPr>
        <a:xfrm>
          <a:off x="3648075" y="6305550"/>
          <a:ext cx="1466850" cy="44767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3</xdr:col>
      <xdr:colOff>28575</xdr:colOff>
      <xdr:row>44</xdr:row>
      <xdr:rowOff>19050</xdr:rowOff>
    </xdr:from>
    <xdr:to>
      <xdr:col>14</xdr:col>
      <xdr:colOff>485775</xdr:colOff>
      <xdr:row>82</xdr:row>
      <xdr:rowOff>28575</xdr:rowOff>
    </xdr:to>
    <xdr:pic>
      <xdr:nvPicPr>
        <xdr:cNvPr id="4"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2085975" y="7562850"/>
          <a:ext cx="8001000" cy="6524625"/>
        </a:xfrm>
        <a:prstGeom prst="rect">
          <a:avLst/>
        </a:prstGeom>
        <a:noFill/>
        <a:ln w="1">
          <a:noFill/>
          <a:miter lim="800000"/>
          <a:headEnd/>
          <a:tailEnd type="none" w="med" len="med"/>
        </a:ln>
        <a:effectLst/>
      </xdr:spPr>
    </xdr:pic>
    <xdr:clientData/>
  </xdr:twoCellAnchor>
  <xdr:twoCellAnchor>
    <xdr:from>
      <xdr:col>2</xdr:col>
      <xdr:colOff>638175</xdr:colOff>
      <xdr:row>54</xdr:row>
      <xdr:rowOff>66675</xdr:rowOff>
    </xdr:from>
    <xdr:to>
      <xdr:col>5</xdr:col>
      <xdr:colOff>47625</xdr:colOff>
      <xdr:row>57</xdr:row>
      <xdr:rowOff>0</xdr:rowOff>
    </xdr:to>
    <xdr:sp macro="" textlink="">
      <xdr:nvSpPr>
        <xdr:cNvPr id="5" name="円/楕円 4"/>
        <xdr:cNvSpPr/>
      </xdr:nvSpPr>
      <xdr:spPr>
        <a:xfrm>
          <a:off x="2009775" y="9324975"/>
          <a:ext cx="1466850" cy="44767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638175</xdr:colOff>
          <xdr:row>3</xdr:row>
          <xdr:rowOff>19050</xdr:rowOff>
        </xdr:from>
        <xdr:to>
          <xdr:col>13</xdr:col>
          <xdr:colOff>676275</xdr:colOff>
          <xdr:row>4</xdr:row>
          <xdr:rowOff>133350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1100" b="0" i="0" u="none" strike="noStrike" baseline="0">
                  <a:solidFill>
                    <a:srgbClr val="000000"/>
                  </a:solidFill>
                  <a:latin typeface="ＭＳ ゴシック"/>
                  <a:ea typeface="ＭＳ ゴシック"/>
                </a:rPr>
                <a:t>　①　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16</xdr:row>
          <xdr:rowOff>28575</xdr:rowOff>
        </xdr:from>
        <xdr:to>
          <xdr:col>14</xdr:col>
          <xdr:colOff>0</xdr:colOff>
          <xdr:row>18</xdr:row>
          <xdr:rowOff>95250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ゴシック"/>
                  <a:ea typeface="ＭＳ ゴシック"/>
                </a:rPr>
                <a:t>　②　</a:t>
              </a:r>
              <a:r>
                <a:rPr lang="en-US" altLang="ja-JP" sz="900" b="0" i="0" u="none" strike="noStrike" baseline="0">
                  <a:solidFill>
                    <a:srgbClr val="000000"/>
                  </a:solidFill>
                  <a:latin typeface="ＭＳ ゴシック"/>
                  <a:ea typeface="ＭＳ ゴシック"/>
                </a:rPr>
                <a:t>PAGE</a:t>
              </a:r>
              <a:r>
                <a:rPr lang="ja-JP" altLang="en-US" sz="900" b="0" i="0" u="none" strike="noStrike" baseline="0">
                  <a:solidFill>
                    <a:srgbClr val="000000"/>
                  </a:solidFill>
                  <a:latin typeface="ＭＳ ゴシック"/>
                  <a:ea typeface="ＭＳ ゴシック"/>
                </a:rPr>
                <a:t>数計測</a:t>
              </a:r>
            </a:p>
            <a:p>
              <a:pPr algn="l" rtl="0">
                <a:defRPr sz="1000"/>
              </a:pPr>
              <a:r>
                <a:rPr lang="ja-JP" altLang="en-US" sz="900" b="0" i="0" u="none" strike="noStrike" baseline="0">
                  <a:solidFill>
                    <a:srgbClr val="000000"/>
                  </a:solidFill>
                  <a:latin typeface="ＭＳ ゴシック"/>
                  <a:ea typeface="ＭＳ ゴシック"/>
                </a:rPr>
                <a:t>　　</a:t>
              </a:r>
              <a:r>
                <a:rPr lang="en-US" altLang="ja-JP" sz="900" b="0" i="0" u="none" strike="noStrike" baseline="0">
                  <a:solidFill>
                    <a:srgbClr val="000000"/>
                  </a:solidFill>
                  <a:latin typeface="ＭＳ ゴシック"/>
                  <a:ea typeface="ＭＳ ゴシック"/>
                </a:rPr>
                <a:t>PAGE</a:t>
              </a:r>
              <a:r>
                <a:rPr lang="ja-JP" altLang="en-US" sz="900" b="0" i="0" u="none" strike="noStrike" baseline="0">
                  <a:solidFill>
                    <a:srgbClr val="000000"/>
                  </a:solidFill>
                  <a:latin typeface="ＭＳ ゴシック"/>
                  <a:ea typeface="ＭＳ ゴシック"/>
                </a:rPr>
                <a:t>数＆変更箇所</a:t>
              </a:r>
            </a:p>
            <a:p>
              <a:pPr algn="l" rtl="0">
                <a:defRPr sz="1000"/>
              </a:pPr>
              <a:r>
                <a:rPr lang="ja-JP" altLang="en-US" sz="900" b="0" i="0" u="none" strike="noStrike" baseline="0">
                  <a:solidFill>
                    <a:srgbClr val="000000"/>
                  </a:solidFill>
                  <a:latin typeface="ＭＳ ゴシック"/>
                  <a:ea typeface="ＭＳ ゴシック"/>
                </a:rPr>
                <a:t>　　</a:t>
              </a:r>
              <a:r>
                <a:rPr lang="en-US" altLang="ja-JP" sz="900" b="0" i="0" u="none" strike="noStrike" baseline="0">
                  <a:solidFill>
                    <a:srgbClr val="000000"/>
                  </a:solidFill>
                  <a:latin typeface="ＭＳ ゴシック"/>
                  <a:ea typeface="ＭＳ ゴシック"/>
                </a:rPr>
                <a:t>Cyclomatic = "OFF"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657225</xdr:colOff>
          <xdr:row>19</xdr:row>
          <xdr:rowOff>9525</xdr:rowOff>
        </xdr:from>
        <xdr:to>
          <xdr:col>14</xdr:col>
          <xdr:colOff>9525</xdr:colOff>
          <xdr:row>22</xdr:row>
          <xdr:rowOff>76200</xdr:rowOff>
        </xdr:to>
        <xdr:sp macro="" textlink="">
          <xdr:nvSpPr>
            <xdr:cNvPr id="1054" name="Button 30" hidden="1">
              <a:extLst>
                <a:ext uri="{63B3BB69-23CF-44E3-9099-C40C66FF867C}">
                  <a14:compatExt spid="_x0000_s10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ゴシック"/>
                  <a:ea typeface="ＭＳ ゴシック"/>
                </a:rPr>
                <a:t>　③　</a:t>
              </a:r>
              <a:r>
                <a:rPr lang="en-US" altLang="ja-JP" sz="900" b="0" i="0" u="none" strike="noStrike" baseline="0">
                  <a:solidFill>
                    <a:srgbClr val="000000"/>
                  </a:solidFill>
                  <a:latin typeface="ＭＳ ゴシック"/>
                  <a:ea typeface="ＭＳ ゴシック"/>
                </a:rPr>
                <a:t>PAGE</a:t>
              </a:r>
              <a:r>
                <a:rPr lang="ja-JP" altLang="en-US" sz="900" b="0" i="0" u="none" strike="noStrike" baseline="0">
                  <a:solidFill>
                    <a:srgbClr val="000000"/>
                  </a:solidFill>
                  <a:latin typeface="ＭＳ ゴシック"/>
                  <a:ea typeface="ＭＳ ゴシック"/>
                </a:rPr>
                <a:t>数計測</a:t>
              </a:r>
            </a:p>
            <a:p>
              <a:pPr algn="l" rtl="0">
                <a:defRPr sz="1000"/>
              </a:pPr>
              <a:r>
                <a:rPr lang="ja-JP" altLang="en-US" sz="900" b="0" i="0" u="none" strike="noStrike" baseline="0">
                  <a:solidFill>
                    <a:srgbClr val="000000"/>
                  </a:solidFill>
                  <a:latin typeface="ＭＳ ゴシック"/>
                  <a:ea typeface="ＭＳ ゴシック"/>
                </a:rPr>
                <a:t>　　</a:t>
              </a:r>
              <a:r>
                <a:rPr lang="en-US" altLang="ja-JP" sz="900" b="0" i="0" u="none" strike="noStrike" baseline="0">
                  <a:solidFill>
                    <a:srgbClr val="000000"/>
                  </a:solidFill>
                  <a:latin typeface="ＭＳ ゴシック"/>
                  <a:ea typeface="ＭＳ ゴシック"/>
                </a:rPr>
                <a:t>PAGE</a:t>
              </a:r>
              <a:r>
                <a:rPr lang="ja-JP" altLang="en-US" sz="900" b="0" i="0" u="none" strike="noStrike" baseline="0">
                  <a:solidFill>
                    <a:srgbClr val="000000"/>
                  </a:solidFill>
                  <a:latin typeface="ＭＳ ゴシック"/>
                  <a:ea typeface="ＭＳ ゴシック"/>
                </a:rPr>
                <a:t>数＆変更箇所</a:t>
              </a:r>
            </a:p>
            <a:p>
              <a:pPr algn="l" rtl="0">
                <a:defRPr sz="1000"/>
              </a:pPr>
              <a:r>
                <a:rPr lang="ja-JP" altLang="en-US" sz="900" b="0" i="0" u="none" strike="noStrike" baseline="0">
                  <a:solidFill>
                    <a:srgbClr val="000000"/>
                  </a:solidFill>
                  <a:latin typeface="ＭＳ ゴシック"/>
                  <a:ea typeface="ＭＳ ゴシック"/>
                </a:rPr>
                <a:t>　　</a:t>
              </a:r>
              <a:r>
                <a:rPr lang="en-US" altLang="ja-JP" sz="900" b="0" i="0" u="none" strike="noStrike" baseline="0">
                  <a:solidFill>
                    <a:srgbClr val="000000"/>
                  </a:solidFill>
                  <a:latin typeface="ＭＳ ゴシック"/>
                  <a:ea typeface="ＭＳ ゴシック"/>
                </a:rPr>
                <a:t>Cyclomatic = "ON"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4</xdr:row>
          <xdr:rowOff>114300</xdr:rowOff>
        </xdr:from>
        <xdr:to>
          <xdr:col>2</xdr:col>
          <xdr:colOff>647700</xdr:colOff>
          <xdr:row>6</xdr:row>
          <xdr:rowOff>76200</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格納場所</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6</xdr:col>
          <xdr:colOff>800100</xdr:colOff>
          <xdr:row>2</xdr:row>
          <xdr:rowOff>123825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altLang="ja-JP" sz="1100" b="0" i="0" u="none" strike="noStrike" baseline="0">
                  <a:solidFill>
                    <a:srgbClr val="000000"/>
                  </a:solidFill>
                  <a:latin typeface="ＭＳ Ｐゴシック"/>
                  <a:ea typeface="ＭＳ Ｐゴシック"/>
                </a:rPr>
                <a:t>DB</a:t>
              </a:r>
              <a:r>
                <a:rPr lang="ja-JP" altLang="en-US" sz="1100" b="0" i="0" u="none" strike="noStrike" baseline="0">
                  <a:solidFill>
                    <a:srgbClr val="000000"/>
                  </a:solidFill>
                  <a:latin typeface="ＭＳ Ｐゴシック"/>
                  <a:ea typeface="ＭＳ Ｐゴシック"/>
                </a:rPr>
                <a:t>登録</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657225</xdr:colOff>
          <xdr:row>6</xdr:row>
          <xdr:rowOff>123825</xdr:rowOff>
        </xdr:from>
        <xdr:to>
          <xdr:col>3</xdr:col>
          <xdr:colOff>638175</xdr:colOff>
          <xdr:row>8</xdr:row>
          <xdr:rowOff>9525</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6</xdr:row>
          <xdr:rowOff>123825</xdr:rowOff>
        </xdr:from>
        <xdr:to>
          <xdr:col>4</xdr:col>
          <xdr:colOff>657225</xdr:colOff>
          <xdr:row>8</xdr:row>
          <xdr:rowOff>9525</xdr:rowOff>
        </xdr:to>
        <xdr:sp macro="" textlink="">
          <xdr:nvSpPr>
            <xdr:cNvPr id="17410" name="Button 2" hidden="1">
              <a:extLst>
                <a:ext uri="{63B3BB69-23CF-44E3-9099-C40C66FF867C}">
                  <a14:compatExt spid="_x0000_s1741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666750</xdr:colOff>
          <xdr:row>6</xdr:row>
          <xdr:rowOff>123825</xdr:rowOff>
        </xdr:from>
        <xdr:to>
          <xdr:col>8</xdr:col>
          <xdr:colOff>647700</xdr:colOff>
          <xdr:row>8</xdr:row>
          <xdr:rowOff>9525</xdr:rowOff>
        </xdr:to>
        <xdr:sp macro="" textlink="">
          <xdr:nvSpPr>
            <xdr:cNvPr id="17411" name="Button 3" hidden="1">
              <a:extLst>
                <a:ext uri="{63B3BB69-23CF-44E3-9099-C40C66FF867C}">
                  <a14:compatExt spid="_x0000_s1741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6</xdr:row>
          <xdr:rowOff>123825</xdr:rowOff>
        </xdr:from>
        <xdr:to>
          <xdr:col>9</xdr:col>
          <xdr:colOff>666750</xdr:colOff>
          <xdr:row>8</xdr:row>
          <xdr:rowOff>9525</xdr:rowOff>
        </xdr:to>
        <xdr:sp macro="" textlink="">
          <xdr:nvSpPr>
            <xdr:cNvPr id="17412" name="Button 4" hidden="1">
              <a:extLst>
                <a:ext uri="{63B3BB69-23CF-44E3-9099-C40C66FF867C}">
                  <a14:compatExt spid="_x0000_s1741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247650</xdr:colOff>
          <xdr:row>5</xdr:row>
          <xdr:rowOff>0</xdr:rowOff>
        </xdr:from>
        <xdr:to>
          <xdr:col>18</xdr:col>
          <xdr:colOff>390525</xdr:colOff>
          <xdr:row>9</xdr:row>
          <xdr:rowOff>152400</xdr:rowOff>
        </xdr:to>
        <xdr:sp macro="" textlink="">
          <xdr:nvSpPr>
            <xdr:cNvPr id="17413" name="Button 5" hidden="1">
              <a:extLst>
                <a:ext uri="{63B3BB69-23CF-44E3-9099-C40C66FF867C}">
                  <a14:compatExt spid="_x0000_s174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仕様書ｻｲｸﾛﾏﾃｨｯｸ</a:t>
              </a:r>
            </a:p>
            <a:p>
              <a:pPr algn="ctr" rtl="0">
                <a:defRPr sz="1000"/>
              </a:pPr>
              <a:r>
                <a:rPr lang="ja-JP" altLang="en-US" sz="1100" b="0" i="0" u="none" strike="noStrike" baseline="0">
                  <a:solidFill>
                    <a:srgbClr val="000000"/>
                  </a:solidFill>
                  <a:latin typeface="ＭＳ Ｐゴシック"/>
                  <a:ea typeface="ＭＳ Ｐゴシック"/>
                </a:rPr>
                <a:t>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666750</xdr:colOff>
          <xdr:row>6</xdr:row>
          <xdr:rowOff>123825</xdr:rowOff>
        </xdr:from>
        <xdr:to>
          <xdr:col>13</xdr:col>
          <xdr:colOff>647700</xdr:colOff>
          <xdr:row>8</xdr:row>
          <xdr:rowOff>9525</xdr:rowOff>
        </xdr:to>
        <xdr:sp macro="" textlink="">
          <xdr:nvSpPr>
            <xdr:cNvPr id="17414" name="Button 6" hidden="1">
              <a:extLst>
                <a:ext uri="{63B3BB69-23CF-44E3-9099-C40C66FF867C}">
                  <a14:compatExt spid="_x0000_s174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123825</xdr:rowOff>
        </xdr:from>
        <xdr:to>
          <xdr:col>14</xdr:col>
          <xdr:colOff>666750</xdr:colOff>
          <xdr:row>8</xdr:row>
          <xdr:rowOff>9525</xdr:rowOff>
        </xdr:to>
        <xdr:sp macro="" textlink="">
          <xdr:nvSpPr>
            <xdr:cNvPr id="17415" name="Button 7" hidden="1">
              <a:extLst>
                <a:ext uri="{63B3BB69-23CF-44E3-9099-C40C66FF867C}">
                  <a14:compatExt spid="_x0000_s1741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設定</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0</xdr:colOff>
      <xdr:row>5</xdr:row>
      <xdr:rowOff>0</xdr:rowOff>
    </xdr:from>
    <xdr:to>
      <xdr:col>1</xdr:col>
      <xdr:colOff>6619875</xdr:colOff>
      <xdr:row>25</xdr:row>
      <xdr:rowOff>133350</xdr:rowOff>
    </xdr:to>
    <xdr:sp macro="" textlink="">
      <xdr:nvSpPr>
        <xdr:cNvPr id="2" name="正方形/長方形 1"/>
        <xdr:cNvSpPr/>
      </xdr:nvSpPr>
      <xdr:spPr>
        <a:xfrm>
          <a:off x="2238375" y="857250"/>
          <a:ext cx="6619875" cy="35623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defTabSz="914400" rtl="0" eaLnBrk="1" fontAlgn="auto" latinLnBrk="0" hangingPunct="1">
            <a:lnSpc>
              <a:spcPct val="100000"/>
            </a:lnSpc>
            <a:spcBef>
              <a:spcPts val="0"/>
            </a:spcBef>
            <a:spcAft>
              <a:spcPts val="0"/>
            </a:spcAft>
            <a:buClrTx/>
            <a:buSzTx/>
            <a:buFontTx/>
            <a:buNone/>
            <a:tabLst/>
            <a:defRPr/>
          </a:pPr>
          <a:r>
            <a:rPr lang="en-US" altLang="ja-JP" sz="1100" baseline="0" smtClean="0">
              <a:solidFill>
                <a:schemeClr val="lt1"/>
              </a:solidFill>
              <a:latin typeface="ＭＳ 明朝" pitchFamily="17" charset="-128"/>
              <a:ea typeface="ＭＳ 明朝" pitchFamily="17" charset="-128"/>
              <a:cs typeface="+mn-cs"/>
            </a:rPr>
            <a:t>tnsnames.ora </a:t>
          </a:r>
          <a:r>
            <a:rPr lang="ja-JP" altLang="en-US" sz="1100" baseline="0" smtClean="0">
              <a:solidFill>
                <a:schemeClr val="lt1"/>
              </a:solidFill>
              <a:latin typeface="ＭＳ 明朝" pitchFamily="17" charset="-128"/>
              <a:ea typeface="ＭＳ 明朝" pitchFamily="17" charset="-128"/>
              <a:cs typeface="+mn-cs"/>
            </a:rPr>
            <a:t>の変更（</a:t>
          </a:r>
          <a:r>
            <a:rPr lang="en-US" altLang="ja-JP" sz="1100" baseline="0" smtClean="0">
              <a:solidFill>
                <a:schemeClr val="lt1"/>
              </a:solidFill>
              <a:latin typeface="ＭＳ 明朝" pitchFamily="17" charset="-128"/>
              <a:ea typeface="ＭＳ 明朝" pitchFamily="17" charset="-128"/>
              <a:cs typeface="+mn-cs"/>
            </a:rPr>
            <a:t>2012/12/12</a:t>
          </a:r>
          <a:r>
            <a:rPr lang="ja-JP" altLang="en-US" sz="1100" baseline="0" smtClean="0">
              <a:solidFill>
                <a:schemeClr val="lt1"/>
              </a:solidFill>
              <a:latin typeface="ＭＳ 明朝" pitchFamily="17" charset="-128"/>
              <a:ea typeface="ＭＳ 明朝" pitchFamily="17" charset="-128"/>
              <a:cs typeface="+mn-cs"/>
            </a:rPr>
            <a:t>）</a:t>
          </a:r>
          <a:endParaRPr lang="en-US" altLang="ja-JP" sz="1100" baseline="0" smtClean="0">
            <a:solidFill>
              <a:schemeClr val="lt1"/>
            </a:solidFill>
            <a:latin typeface="ＭＳ 明朝" pitchFamily="17" charset="-128"/>
            <a:ea typeface="ＭＳ 明朝" pitchFamily="17" charset="-128"/>
            <a:cs typeface="+mn-cs"/>
          </a:endParaRPr>
        </a:p>
        <a:p>
          <a:pPr rtl="0"/>
          <a:r>
            <a:rPr lang="ja-JP" altLang="en-US" sz="1100" baseline="0" smtClean="0">
              <a:solidFill>
                <a:schemeClr val="lt1"/>
              </a:solidFill>
              <a:latin typeface="ＭＳ 明朝" pitchFamily="17" charset="-128"/>
              <a:ea typeface="ＭＳ 明朝" pitchFamily="17" charset="-128"/>
              <a:cs typeface="+mn-cs"/>
            </a:rPr>
            <a:t>（</a:t>
          </a:r>
          <a:r>
            <a:rPr lang="en-US" altLang="ja-JP" sz="1100" baseline="0" smtClean="0">
              <a:solidFill>
                <a:schemeClr val="lt1"/>
              </a:solidFill>
              <a:latin typeface="ＭＳ 明朝" pitchFamily="17" charset="-128"/>
              <a:ea typeface="ＭＳ 明朝" pitchFamily="17" charset="-128"/>
              <a:cs typeface="+mn-cs"/>
            </a:rPr>
            <a:t>oracle11g</a:t>
          </a:r>
          <a:r>
            <a:rPr lang="ja-JP" altLang="en-US" sz="1100" baseline="0" smtClean="0">
              <a:solidFill>
                <a:schemeClr val="lt1"/>
              </a:solidFill>
              <a:latin typeface="ＭＳ 明朝" pitchFamily="17" charset="-128"/>
              <a:ea typeface="ＭＳ 明朝" pitchFamily="17" charset="-128"/>
              <a:cs typeface="+mn-cs"/>
            </a:rPr>
            <a:t>対応）</a:t>
          </a:r>
          <a:endParaRPr lang="en-US" altLang="ja-JP" sz="1100" baseline="0" smtClean="0">
            <a:solidFill>
              <a:schemeClr val="lt1"/>
            </a:solidFill>
            <a:latin typeface="ＭＳ 明朝" pitchFamily="17" charset="-128"/>
            <a:ea typeface="ＭＳ 明朝" pitchFamily="17" charset="-128"/>
            <a:cs typeface="+mn-cs"/>
          </a:endParaRPr>
        </a:p>
        <a:p>
          <a:pPr rtl="0"/>
          <a:endParaRPr lang="en-US" altLang="ja-JP" sz="1100" baseline="0" smtClean="0">
            <a:solidFill>
              <a:schemeClr val="lt1"/>
            </a:solidFill>
            <a:latin typeface="ＭＳ 明朝" pitchFamily="17" charset="-128"/>
            <a:ea typeface="ＭＳ 明朝" pitchFamily="17" charset="-128"/>
            <a:cs typeface="+mn-cs"/>
          </a:endParaRPr>
        </a:p>
        <a:p>
          <a:pPr rtl="0"/>
          <a:r>
            <a:rPr lang="ja-JP" altLang="en-US" sz="1100" baseline="0" smtClean="0">
              <a:solidFill>
                <a:schemeClr val="lt1"/>
              </a:solidFill>
              <a:latin typeface="ＭＳ 明朝" pitchFamily="17" charset="-128"/>
              <a:ea typeface="ＭＳ 明朝" pitchFamily="17" charset="-128"/>
              <a:cs typeface="+mn-cs"/>
            </a:rPr>
            <a:t>・アプリ開放用の</a:t>
          </a:r>
          <a:r>
            <a:rPr lang="en-US" altLang="ja-JP" sz="1100" baseline="0" smtClean="0">
              <a:solidFill>
                <a:schemeClr val="lt1"/>
              </a:solidFill>
              <a:latin typeface="ＭＳ 明朝" pitchFamily="17" charset="-128"/>
              <a:ea typeface="ＭＳ 明朝" pitchFamily="17" charset="-128"/>
              <a:cs typeface="+mn-cs"/>
            </a:rPr>
            <a:t>DB</a:t>
          </a:r>
          <a:r>
            <a:rPr lang="ja-JP" altLang="en-US" sz="1100" baseline="0" smtClean="0">
              <a:solidFill>
                <a:schemeClr val="lt1"/>
              </a:solidFill>
              <a:latin typeface="ＭＳ 明朝" pitchFamily="17" charset="-128"/>
              <a:ea typeface="ＭＳ 明朝" pitchFamily="17" charset="-128"/>
              <a:cs typeface="+mn-cs"/>
            </a:rPr>
            <a:t>先が変わりました。</a:t>
          </a:r>
          <a:endParaRPr lang="en-US" altLang="ja-JP" sz="1100" baseline="0" smtClean="0">
            <a:solidFill>
              <a:schemeClr val="lt1"/>
            </a:solidFill>
            <a:latin typeface="ＭＳ 明朝" pitchFamily="17" charset="-128"/>
            <a:ea typeface="ＭＳ 明朝" pitchFamily="17" charset="-128"/>
            <a:cs typeface="+mn-cs"/>
          </a:endParaRPr>
        </a:p>
        <a:p>
          <a:pPr rtl="0"/>
          <a:endParaRPr lang="en-US" altLang="ja-JP" sz="1100" baseline="0" smtClean="0">
            <a:solidFill>
              <a:schemeClr val="lt1"/>
            </a:solidFill>
            <a:latin typeface="ＭＳ 明朝" pitchFamily="17" charset="-128"/>
            <a:ea typeface="ＭＳ 明朝" pitchFamily="17" charset="-128"/>
            <a:cs typeface="+mn-cs"/>
          </a:endParaRPr>
        </a:p>
        <a:p>
          <a:pPr rtl="0"/>
          <a:r>
            <a:rPr lang="en-US" altLang="ja-JP" sz="1100" baseline="0" smtClean="0">
              <a:solidFill>
                <a:schemeClr val="lt1"/>
              </a:solidFill>
              <a:latin typeface="ＭＳ 明朝" pitchFamily="17" charset="-128"/>
              <a:ea typeface="ＭＳ 明朝" pitchFamily="17" charset="-128"/>
              <a:cs typeface="+mn-cs"/>
            </a:rPr>
            <a:t>TST1_SPIRITS =</a:t>
          </a:r>
        </a:p>
        <a:p>
          <a:pPr rtl="0"/>
          <a:r>
            <a:rPr lang="en-US" altLang="ja-JP" sz="1100" baseline="0" smtClean="0">
              <a:solidFill>
                <a:schemeClr val="lt1"/>
              </a:solidFill>
              <a:latin typeface="ＭＳ 明朝" pitchFamily="17" charset="-128"/>
              <a:ea typeface="ＭＳ 明朝" pitchFamily="17" charset="-128"/>
              <a:cs typeface="+mn-cs"/>
            </a:rPr>
            <a:t>  (DESCRIPTION =</a:t>
          </a:r>
        </a:p>
        <a:p>
          <a:pPr rtl="0"/>
          <a:r>
            <a:rPr lang="en-US" altLang="ja-JP" sz="1100" baseline="0" smtClean="0">
              <a:solidFill>
                <a:schemeClr val="lt1"/>
              </a:solidFill>
              <a:latin typeface="ＭＳ 明朝" pitchFamily="17" charset="-128"/>
              <a:ea typeface="ＭＳ 明朝" pitchFamily="17" charset="-128"/>
              <a:cs typeface="+mn-cs"/>
            </a:rPr>
            <a:t>    (ADDRESS = (PROTOCOL = TCP)(HOST = tstsp-scan)(PORT = 1521))</a:t>
          </a:r>
        </a:p>
        <a:p>
          <a:pPr rtl="0"/>
          <a:r>
            <a:rPr lang="en-US" altLang="ja-JP" sz="1100" baseline="0" smtClean="0">
              <a:solidFill>
                <a:schemeClr val="lt1"/>
              </a:solidFill>
              <a:latin typeface="ＭＳ 明朝" pitchFamily="17" charset="-128"/>
              <a:ea typeface="ＭＳ 明朝" pitchFamily="17" charset="-128"/>
              <a:cs typeface="+mn-cs"/>
            </a:rPr>
            <a:t>    (CONNECT_DATA =</a:t>
          </a:r>
        </a:p>
        <a:p>
          <a:pPr rtl="0"/>
          <a:r>
            <a:rPr lang="en-US" altLang="ja-JP" sz="1100" baseline="0" smtClean="0">
              <a:solidFill>
                <a:schemeClr val="lt1"/>
              </a:solidFill>
              <a:latin typeface="ＭＳ 明朝" pitchFamily="17" charset="-128"/>
              <a:ea typeface="ＭＳ 明朝" pitchFamily="17" charset="-128"/>
              <a:cs typeface="+mn-cs"/>
            </a:rPr>
            <a:t>      (SERVER = DEDICATED)</a:t>
          </a:r>
        </a:p>
        <a:p>
          <a:pPr rtl="0"/>
          <a:r>
            <a:rPr lang="en-US" altLang="ja-JP" sz="1100" baseline="0" smtClean="0">
              <a:solidFill>
                <a:schemeClr val="lt1"/>
              </a:solidFill>
              <a:latin typeface="ＭＳ 明朝" pitchFamily="17" charset="-128"/>
              <a:ea typeface="ＭＳ 明朝" pitchFamily="17" charset="-128"/>
              <a:cs typeface="+mn-cs"/>
            </a:rPr>
            <a:t>      (SERVICE_NAME = tst1_spirits.murata.co.jp)</a:t>
          </a:r>
        </a:p>
        <a:p>
          <a:pPr rtl="0"/>
          <a:r>
            <a:rPr lang="ja-JP" altLang="en-US" sz="1100" baseline="0" smtClean="0">
              <a:solidFill>
                <a:schemeClr val="lt1"/>
              </a:solidFill>
              <a:latin typeface="ＭＳ 明朝" pitchFamily="17" charset="-128"/>
              <a:ea typeface="ＭＳ 明朝" pitchFamily="17" charset="-128"/>
              <a:cs typeface="+mn-cs"/>
            </a:rPr>
            <a:t>    </a:t>
          </a:r>
          <a:r>
            <a:rPr lang="en-US" altLang="ja-JP" sz="1100" baseline="0" smtClean="0">
              <a:solidFill>
                <a:schemeClr val="lt1"/>
              </a:solidFill>
              <a:latin typeface="ＭＳ 明朝" pitchFamily="17" charset="-128"/>
              <a:ea typeface="ＭＳ 明朝" pitchFamily="17" charset="-128"/>
              <a:cs typeface="+mn-cs"/>
            </a:rPr>
            <a:t>)</a:t>
          </a:r>
        </a:p>
        <a:p>
          <a:pPr rtl="0"/>
          <a:r>
            <a:rPr lang="ja-JP" altLang="en-US" sz="1100" baseline="0" smtClean="0">
              <a:solidFill>
                <a:schemeClr val="lt1"/>
              </a:solidFill>
              <a:latin typeface="ＭＳ 明朝" pitchFamily="17" charset="-128"/>
              <a:ea typeface="ＭＳ 明朝" pitchFamily="17" charset="-128"/>
              <a:cs typeface="+mn-cs"/>
            </a:rPr>
            <a:t>  </a:t>
          </a:r>
          <a:r>
            <a:rPr lang="en-US" altLang="ja-JP" sz="1100" baseline="0" smtClean="0">
              <a:solidFill>
                <a:schemeClr val="lt1"/>
              </a:solidFill>
              <a:latin typeface="ＭＳ 明朝" pitchFamily="17" charset="-128"/>
              <a:ea typeface="ＭＳ 明朝" pitchFamily="17" charset="-128"/>
              <a:cs typeface="+mn-cs"/>
            </a:rPr>
            <a:t>)</a:t>
          </a:r>
        </a:p>
        <a:p>
          <a:pPr algn="ctr"/>
          <a:endParaRPr kumimoji="1" lang="ja-JP" altLang="en-US" sz="1100">
            <a:latin typeface="ＭＳ 明朝" pitchFamily="17" charset="-128"/>
            <a:ea typeface="ＭＳ 明朝" pitchFamily="17" charset="-128"/>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1697;&#36074;&#31649;&#29702;&#65288;SVN&#65289;/12.&#12484;&#12540;&#12523;/2.&#12469;&#12452;&#12463;&#12525;&#12510;&#12486;&#12451;&#12483;&#12463;&#24773;&#22577;DB&#21462;&#24471;(&#35211;&#31309;)/11_&#20181;&#27096;&#26360;&#12506;&#12540;&#12472;&#25968;(&#35079;&#38609;&#24230;)&#35336;&#28204;&#65286;DB&#25645;&#36617;_Ver2.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1697;&#36074;&#31649;&#29702;&#65288;SVN&#65289;/12.&#12484;&#12540;&#12523;/2.&#12469;&#12452;&#12463;&#12525;&#12510;&#12486;&#12451;&#12483;&#12463;&#24773;&#22577;DB&#21462;&#24471;(&#35211;&#31309;)/21_&#12469;&#12452;&#12463;&#12525;&#12510;&#12486;&#12451;&#12483;&#12463;&#24773;&#22577;&#26908;&#32034;Ver3.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説明"/>
      <sheetName val="設定"/>
      <sheetName val="一覧"/>
      <sheetName val="結果"/>
      <sheetName val="結果（BMC・BSP）"/>
      <sheetName val="仕様書別結果"/>
      <sheetName val="集約結果"/>
      <sheetName val="選択肢"/>
      <sheetName val="接続先"/>
      <sheetName val="改訂履歴"/>
    </sheetNames>
    <sheetDataSet>
      <sheetData sheetId="0"/>
      <sheetData sheetId="1" refreshError="1"/>
      <sheetData sheetId="2" refreshError="1"/>
      <sheetData sheetId="3" refreshError="1"/>
      <sheetData sheetId="4" refreshError="1"/>
      <sheetData sheetId="5" refreshError="1"/>
      <sheetData sheetId="6" refreshError="1"/>
      <sheetData sheetId="7">
        <row r="5">
          <cell r="A5" t="str">
            <v>11011.グル内取引</v>
          </cell>
        </row>
        <row r="6">
          <cell r="A6" t="str">
            <v>11012.債務管理</v>
          </cell>
        </row>
        <row r="7">
          <cell r="A7" t="str">
            <v>11015.分散再構築(オフショア)</v>
          </cell>
        </row>
        <row r="8">
          <cell r="A8" t="str">
            <v>11016.新連結会計</v>
          </cell>
        </row>
        <row r="9">
          <cell r="A9" t="str">
            <v>11017.開発マネージメント</v>
          </cell>
        </row>
        <row r="10">
          <cell r="A10" t="str">
            <v>11020.SCM物流(第一ｽﾃｯﾌﾟ)</v>
          </cell>
        </row>
        <row r="11">
          <cell r="A11" t="str">
            <v>11021.SCM物流(第二ｽﾃｯﾌﾟ)</v>
          </cell>
        </row>
        <row r="12">
          <cell r="A12" t="str">
            <v>11022.SCM物流(第二ｽﾃｯﾌﾟ)-ﾊﾞｰｺｰﾄﾞ</v>
          </cell>
        </row>
        <row r="13">
          <cell r="A13" t="str">
            <v>11023.SCM供給改善</v>
          </cell>
        </row>
        <row r="14">
          <cell r="A14" t="str">
            <v>11031.MaCSS</v>
          </cell>
        </row>
        <row r="15">
          <cell r="A15" t="str">
            <v>11051.CSI(価格見積)</v>
          </cell>
        </row>
        <row r="16">
          <cell r="A16" t="str">
            <v>11052.CSI(GSR)</v>
          </cell>
        </row>
        <row r="17">
          <cell r="A17" t="str">
            <v>11061.分散再構築(国内)第一ｽﾃｯﾌﾟ</v>
          </cell>
        </row>
        <row r="18">
          <cell r="A18" t="str">
            <v>11999.保守</v>
          </cell>
        </row>
      </sheetData>
      <sheetData sheetId="8">
        <row r="2">
          <cell r="A2" t="str">
            <v>1：品質管理専用(SCHM_C200)</v>
          </cell>
        </row>
      </sheetData>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説明"/>
      <sheetName val="【説明】アドイン設定"/>
      <sheetName val="◆検索条件◆(仕様書)"/>
      <sheetName val="仕様書別集約結果"/>
      <sheetName val="集約結果（仕様書）"/>
      <sheetName val="◆検索条件◆(ソース)"/>
      <sheetName val="ファイル区分別集約結果"/>
      <sheetName val="集約結果（ソース）"/>
      <sheetName val="仕様書計測・サイクロマティック複雑度"/>
      <sheetName val="仕様書計測（BMC・BSP呼出）"/>
      <sheetName val="ソース計測・サイクロマティック複雑度"/>
      <sheetName val="ソース計測（BMC・BSP呼出）"/>
      <sheetName val="接続先"/>
      <sheetName val="改訂履歴"/>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2">
          <cell r="A2" t="str">
            <v>1：品質管理専用(SCHM_C200)</v>
          </cell>
        </row>
        <row r="3">
          <cell r="A3" t="str">
            <v>2：アプリ開放用(SCHM_C002)</v>
          </cell>
        </row>
        <row r="4">
          <cell r="A4" t="str">
            <v>3：ローカル</v>
          </cell>
        </row>
      </sheetData>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8.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8:B283"/>
  <sheetViews>
    <sheetView view="pageBreakPreview" zoomScale="80" zoomScaleNormal="75" workbookViewId="0">
      <selection activeCell="C266" sqref="C266"/>
    </sheetView>
  </sheetViews>
  <sheetFormatPr defaultRowHeight="13.5"/>
  <cols>
    <col min="1" max="16384" width="9" style="53"/>
  </cols>
  <sheetData>
    <row r="28" spans="2:2" ht="18.75">
      <c r="B28" s="54" t="s">
        <v>176</v>
      </c>
    </row>
    <row r="29" spans="2:2">
      <c r="B29" s="53" t="s">
        <v>190</v>
      </c>
    </row>
    <row r="30" spans="2:2">
      <c r="B30" s="55" t="s">
        <v>174</v>
      </c>
    </row>
    <row r="31" spans="2:2">
      <c r="B31" s="55" t="s">
        <v>175</v>
      </c>
    </row>
    <row r="65" spans="2:2" ht="18.75">
      <c r="B65" s="54" t="s">
        <v>177</v>
      </c>
    </row>
    <row r="66" spans="2:2">
      <c r="B66" s="53" t="s">
        <v>191</v>
      </c>
    </row>
    <row r="99" spans="2:2" ht="18.75">
      <c r="B99" s="54" t="s">
        <v>178</v>
      </c>
    </row>
    <row r="101" spans="2:2">
      <c r="B101" s="53" t="s">
        <v>192</v>
      </c>
    </row>
    <row r="137" spans="2:2">
      <c r="B137" s="53" t="s">
        <v>193</v>
      </c>
    </row>
    <row r="138" spans="2:2">
      <c r="B138" s="55" t="s">
        <v>179</v>
      </c>
    </row>
    <row r="173" spans="2:2" ht="18.75">
      <c r="B173" s="54" t="s">
        <v>180</v>
      </c>
    </row>
    <row r="175" spans="2:2">
      <c r="B175" s="53" t="s">
        <v>194</v>
      </c>
    </row>
    <row r="176" spans="2:2">
      <c r="B176" s="53" t="s">
        <v>181</v>
      </c>
    </row>
    <row r="177" spans="2:2">
      <c r="B177" s="55"/>
    </row>
    <row r="205" spans="2:2" ht="18.75">
      <c r="B205" s="54" t="s">
        <v>183</v>
      </c>
    </row>
    <row r="206" spans="2:2" ht="18.75">
      <c r="B206" s="54"/>
    </row>
    <row r="207" spans="2:2">
      <c r="B207" s="53" t="s">
        <v>195</v>
      </c>
    </row>
    <row r="208" spans="2:2">
      <c r="B208" s="53" t="s">
        <v>185</v>
      </c>
    </row>
    <row r="239" spans="2:2" ht="18.75">
      <c r="B239" s="54" t="s">
        <v>182</v>
      </c>
    </row>
    <row r="241" spans="2:2">
      <c r="B241" s="53" t="s">
        <v>196</v>
      </c>
    </row>
    <row r="242" spans="2:2">
      <c r="B242" s="53" t="s">
        <v>184</v>
      </c>
    </row>
    <row r="273" spans="2:2">
      <c r="B273" s="53" t="s">
        <v>186</v>
      </c>
    </row>
    <row r="274" spans="2:2">
      <c r="B274" s="53" t="s">
        <v>187</v>
      </c>
    </row>
    <row r="278" spans="2:2" ht="18.75">
      <c r="B278" s="54" t="s">
        <v>188</v>
      </c>
    </row>
    <row r="280" spans="2:2">
      <c r="B280" s="53" t="s">
        <v>197</v>
      </c>
    </row>
    <row r="281" spans="2:2">
      <c r="B281" s="53" t="s">
        <v>198</v>
      </c>
    </row>
    <row r="282" spans="2:2">
      <c r="B282" s="53" t="s">
        <v>199</v>
      </c>
    </row>
    <row r="283" spans="2:2">
      <c r="B283" s="53" t="s">
        <v>189</v>
      </c>
    </row>
  </sheetData>
  <phoneticPr fontId="1"/>
  <pageMargins left="0.78700000000000003" right="0.78700000000000003" top="0.98399999999999999" bottom="0.98399999999999999" header="0.51200000000000001" footer="0.51200000000000001"/>
  <pageSetup paperSize="9" scale="53" orientation="portrait" r:id="rId1"/>
  <headerFooter alignWithMargins="0"/>
  <rowBreaks count="2" manualBreakCount="2">
    <brk id="97" max="17" man="1"/>
    <brk id="170" max="17"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view="pageBreakPreview" zoomScale="80" zoomScaleNormal="75" workbookViewId="0">
      <selection activeCell="A14" sqref="A14"/>
    </sheetView>
  </sheetViews>
  <sheetFormatPr defaultRowHeight="13.5"/>
  <sheetData/>
  <phoneticPr fontId="1"/>
  <pageMargins left="0.78700000000000003" right="0.78700000000000003" top="0.98399999999999999" bottom="0.98399999999999999" header="0.51200000000000001" footer="0.51200000000000001"/>
  <pageSetup paperSize="9" scale="53"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44"/>
  <sheetViews>
    <sheetView topLeftCell="A34" workbookViewId="0">
      <selection activeCell="D45" sqref="D45"/>
    </sheetView>
  </sheetViews>
  <sheetFormatPr defaultRowHeight="13.5"/>
  <sheetData>
    <row r="2" spans="2:4">
      <c r="B2" t="s">
        <v>162</v>
      </c>
    </row>
    <row r="4" spans="2:4">
      <c r="C4" t="s">
        <v>163</v>
      </c>
    </row>
    <row r="5" spans="2:4">
      <c r="D5" s="52" t="s">
        <v>164</v>
      </c>
    </row>
    <row r="7" spans="2:4">
      <c r="B7" t="s">
        <v>165</v>
      </c>
    </row>
    <row r="9" spans="2:4">
      <c r="C9" t="s">
        <v>166</v>
      </c>
    </row>
    <row r="10" spans="2:4">
      <c r="D10" t="s">
        <v>167</v>
      </c>
    </row>
    <row r="12" spans="2:4">
      <c r="B12" t="s">
        <v>168</v>
      </c>
    </row>
    <row r="13" spans="2:4">
      <c r="C13" t="s">
        <v>169</v>
      </c>
    </row>
    <row r="42" spans="3:4">
      <c r="C42" t="s">
        <v>170</v>
      </c>
    </row>
    <row r="43" spans="3:4">
      <c r="D43" t="s">
        <v>171</v>
      </c>
    </row>
    <row r="44" spans="3:4">
      <c r="D44" t="s">
        <v>172</v>
      </c>
    </row>
  </sheetData>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indexed="10"/>
  </sheetPr>
  <dimension ref="B2:N41"/>
  <sheetViews>
    <sheetView zoomScale="85" zoomScaleNormal="85" workbookViewId="0">
      <selection activeCell="I49" sqref="I49"/>
    </sheetView>
  </sheetViews>
  <sheetFormatPr defaultRowHeight="13.5" outlineLevelRow="1"/>
  <cols>
    <col min="1" max="16384" width="9" style="2"/>
  </cols>
  <sheetData>
    <row r="2" spans="2:14" ht="18.75">
      <c r="B2" s="1" t="s">
        <v>33</v>
      </c>
    </row>
    <row r="4" spans="2:14">
      <c r="C4" s="29" t="s">
        <v>73</v>
      </c>
      <c r="D4" s="67"/>
      <c r="E4" s="67"/>
      <c r="F4" s="67"/>
    </row>
    <row r="6" spans="2:14">
      <c r="D6" s="61"/>
      <c r="E6" s="62"/>
      <c r="F6" s="62"/>
      <c r="G6" s="62"/>
      <c r="H6" s="62"/>
      <c r="I6" s="62"/>
      <c r="J6" s="62"/>
      <c r="K6" s="62"/>
      <c r="L6" s="62"/>
      <c r="M6" s="62"/>
      <c r="N6" s="63"/>
    </row>
    <row r="8" spans="2:14" hidden="1" outlineLevel="1">
      <c r="F8" s="3" t="s">
        <v>2</v>
      </c>
    </row>
    <row r="9" spans="2:14" hidden="1" outlineLevel="1">
      <c r="F9" s="3" t="s">
        <v>3</v>
      </c>
    </row>
    <row r="10" spans="2:14" hidden="1" outlineLevel="1">
      <c r="F10" s="3" t="s">
        <v>4</v>
      </c>
    </row>
    <row r="11" spans="2:14" hidden="1" outlineLevel="1">
      <c r="F11" s="3" t="s">
        <v>5</v>
      </c>
    </row>
    <row r="12" spans="2:14" hidden="1" outlineLevel="1">
      <c r="F12" s="3" t="s">
        <v>6</v>
      </c>
    </row>
    <row r="13" spans="2:14" hidden="1" outlineLevel="1">
      <c r="F13" s="3" t="s">
        <v>7</v>
      </c>
    </row>
    <row r="14" spans="2:14" hidden="1" outlineLevel="1">
      <c r="F14" s="3" t="s">
        <v>8</v>
      </c>
    </row>
    <row r="15" spans="2:14" hidden="1" outlineLevel="1">
      <c r="F15" s="3" t="s">
        <v>9</v>
      </c>
    </row>
    <row r="16" spans="2:14" hidden="1" outlineLevel="1">
      <c r="F16" s="3" t="s">
        <v>10</v>
      </c>
    </row>
    <row r="17" spans="2:11" collapsed="1"/>
    <row r="18" spans="2:11" ht="27">
      <c r="B18" s="7"/>
      <c r="C18" s="7" t="s">
        <v>12</v>
      </c>
      <c r="D18" s="7" t="s">
        <v>20</v>
      </c>
      <c r="E18" s="7"/>
      <c r="F18" s="7"/>
      <c r="G18" s="7" t="s">
        <v>11</v>
      </c>
      <c r="H18" s="7"/>
      <c r="I18" s="7"/>
      <c r="J18" s="8" t="s">
        <v>21</v>
      </c>
      <c r="K18" s="6" t="s">
        <v>19</v>
      </c>
    </row>
    <row r="19" spans="2:11">
      <c r="C19" s="11">
        <v>1</v>
      </c>
      <c r="D19" s="61" t="s">
        <v>22</v>
      </c>
      <c r="E19" s="62"/>
      <c r="F19" s="63"/>
      <c r="G19" s="64" t="s">
        <v>2</v>
      </c>
      <c r="H19" s="65"/>
      <c r="I19" s="66"/>
      <c r="J19" s="10"/>
      <c r="K19" s="4" t="s">
        <v>0</v>
      </c>
    </row>
    <row r="20" spans="2:11">
      <c r="C20" s="11">
        <v>2</v>
      </c>
      <c r="D20" s="61" t="s">
        <v>23</v>
      </c>
      <c r="E20" s="62"/>
      <c r="F20" s="63"/>
      <c r="G20" s="64" t="s">
        <v>4</v>
      </c>
      <c r="H20" s="65"/>
      <c r="I20" s="66"/>
      <c r="J20" s="10">
        <v>1</v>
      </c>
      <c r="K20" s="4" t="s">
        <v>28</v>
      </c>
    </row>
    <row r="21" spans="2:11">
      <c r="C21" s="11">
        <v>3</v>
      </c>
      <c r="D21" s="61" t="s">
        <v>24</v>
      </c>
      <c r="E21" s="62"/>
      <c r="F21" s="63"/>
      <c r="G21" s="64" t="s">
        <v>4</v>
      </c>
      <c r="H21" s="65"/>
      <c r="I21" s="66"/>
      <c r="J21" s="10">
        <v>1</v>
      </c>
      <c r="K21" s="4" t="s">
        <v>29</v>
      </c>
    </row>
    <row r="22" spans="2:11">
      <c r="C22" s="11">
        <v>4</v>
      </c>
      <c r="D22" s="61" t="s">
        <v>25</v>
      </c>
      <c r="E22" s="62"/>
      <c r="F22" s="63"/>
      <c r="G22" s="64" t="s">
        <v>4</v>
      </c>
      <c r="H22" s="65"/>
      <c r="I22" s="66"/>
      <c r="J22" s="10">
        <v>1</v>
      </c>
      <c r="K22" s="4" t="s">
        <v>29</v>
      </c>
    </row>
    <row r="23" spans="2:11">
      <c r="C23" s="11">
        <v>5</v>
      </c>
      <c r="D23" s="61" t="s">
        <v>26</v>
      </c>
      <c r="E23" s="62"/>
      <c r="F23" s="63"/>
      <c r="G23" s="64" t="s">
        <v>4</v>
      </c>
      <c r="H23" s="65"/>
      <c r="I23" s="66"/>
      <c r="J23" s="10">
        <v>1</v>
      </c>
      <c r="K23" s="4" t="s">
        <v>0</v>
      </c>
    </row>
    <row r="24" spans="2:11">
      <c r="C24" s="11">
        <v>6</v>
      </c>
      <c r="D24" s="61" t="s">
        <v>27</v>
      </c>
      <c r="E24" s="62"/>
      <c r="F24" s="63"/>
      <c r="G24" s="64" t="s">
        <v>4</v>
      </c>
      <c r="H24" s="65"/>
      <c r="I24" s="66"/>
      <c r="J24" s="10">
        <v>1</v>
      </c>
      <c r="K24" s="4" t="s">
        <v>0</v>
      </c>
    </row>
    <row r="25" spans="2:11">
      <c r="C25" s="11">
        <v>7</v>
      </c>
      <c r="D25" s="61" t="s">
        <v>100</v>
      </c>
      <c r="E25" s="62"/>
      <c r="F25" s="63"/>
      <c r="G25" s="64" t="s">
        <v>4</v>
      </c>
      <c r="H25" s="65"/>
      <c r="I25" s="66"/>
      <c r="J25" s="10">
        <v>1</v>
      </c>
      <c r="K25" s="4" t="s">
        <v>0</v>
      </c>
    </row>
    <row r="26" spans="2:11">
      <c r="C26" s="11">
        <v>8</v>
      </c>
      <c r="D26" s="61"/>
      <c r="E26" s="62"/>
      <c r="F26" s="63"/>
      <c r="G26" s="64"/>
      <c r="H26" s="65"/>
      <c r="I26" s="66"/>
      <c r="J26" s="10"/>
      <c r="K26" s="4"/>
    </row>
    <row r="27" spans="2:11">
      <c r="C27" s="11">
        <v>9</v>
      </c>
      <c r="D27" s="61"/>
      <c r="E27" s="62"/>
      <c r="F27" s="63"/>
      <c r="G27" s="64"/>
      <c r="H27" s="65"/>
      <c r="I27" s="66"/>
      <c r="J27" s="10"/>
      <c r="K27" s="4"/>
    </row>
    <row r="28" spans="2:11">
      <c r="C28" s="11">
        <v>10</v>
      </c>
      <c r="D28" s="61"/>
      <c r="E28" s="62"/>
      <c r="F28" s="63"/>
      <c r="G28" s="64"/>
      <c r="H28" s="65"/>
      <c r="I28" s="66"/>
      <c r="J28" s="10"/>
      <c r="K28" s="4"/>
    </row>
    <row r="29" spans="2:11">
      <c r="C29" s="11">
        <v>11</v>
      </c>
      <c r="D29" s="61"/>
      <c r="E29" s="62"/>
      <c r="F29" s="63"/>
      <c r="G29" s="64"/>
      <c r="H29" s="65"/>
      <c r="I29" s="66"/>
      <c r="J29" s="10"/>
      <c r="K29" s="4"/>
    </row>
    <row r="30" spans="2:11">
      <c r="C30" s="11">
        <v>12</v>
      </c>
      <c r="D30" s="61"/>
      <c r="E30" s="62"/>
      <c r="F30" s="63"/>
      <c r="G30" s="64"/>
      <c r="H30" s="65"/>
      <c r="I30" s="66"/>
      <c r="J30" s="10"/>
      <c r="K30" s="4"/>
    </row>
    <row r="31" spans="2:11">
      <c r="C31" s="11">
        <v>13</v>
      </c>
      <c r="D31" s="61"/>
      <c r="E31" s="62"/>
      <c r="F31" s="63"/>
      <c r="G31" s="64"/>
      <c r="H31" s="65"/>
      <c r="I31" s="66"/>
      <c r="J31" s="10"/>
      <c r="K31" s="4"/>
    </row>
    <row r="32" spans="2:11">
      <c r="C32" s="11">
        <v>14</v>
      </c>
      <c r="D32" s="61"/>
      <c r="E32" s="62"/>
      <c r="F32" s="63"/>
      <c r="G32" s="64"/>
      <c r="H32" s="65"/>
      <c r="I32" s="66"/>
      <c r="J32" s="10"/>
      <c r="K32" s="4"/>
    </row>
    <row r="33" spans="3:11">
      <c r="C33" s="11">
        <v>15</v>
      </c>
      <c r="D33" s="61"/>
      <c r="E33" s="62"/>
      <c r="F33" s="63"/>
      <c r="G33" s="64"/>
      <c r="H33" s="65"/>
      <c r="I33" s="66"/>
      <c r="J33" s="10"/>
      <c r="K33" s="4"/>
    </row>
    <row r="34" spans="3:11">
      <c r="C34" s="11">
        <v>16</v>
      </c>
      <c r="D34" s="61"/>
      <c r="E34" s="62"/>
      <c r="F34" s="63"/>
      <c r="G34" s="64"/>
      <c r="H34" s="65"/>
      <c r="I34" s="66"/>
      <c r="J34" s="10"/>
      <c r="K34" s="4"/>
    </row>
    <row r="35" spans="3:11">
      <c r="C35" s="11">
        <v>17</v>
      </c>
      <c r="D35" s="61"/>
      <c r="E35" s="62"/>
      <c r="F35" s="63"/>
      <c r="G35" s="64"/>
      <c r="H35" s="65"/>
      <c r="I35" s="66"/>
      <c r="J35" s="10"/>
      <c r="K35" s="4"/>
    </row>
    <row r="36" spans="3:11">
      <c r="C36" s="11">
        <v>18</v>
      </c>
      <c r="D36" s="61"/>
      <c r="E36" s="62"/>
      <c r="F36" s="63"/>
      <c r="G36" s="64"/>
      <c r="H36" s="65"/>
      <c r="I36" s="66"/>
      <c r="J36" s="10"/>
      <c r="K36" s="4"/>
    </row>
    <row r="37" spans="3:11">
      <c r="C37" s="11">
        <v>19</v>
      </c>
      <c r="D37" s="61"/>
      <c r="E37" s="62"/>
      <c r="F37" s="63"/>
      <c r="G37" s="64"/>
      <c r="H37" s="65"/>
      <c r="I37" s="66"/>
      <c r="J37" s="10"/>
      <c r="K37" s="4"/>
    </row>
    <row r="38" spans="3:11">
      <c r="C38" s="11">
        <v>20</v>
      </c>
      <c r="D38" s="61"/>
      <c r="E38" s="62"/>
      <c r="F38" s="63"/>
      <c r="G38" s="64"/>
      <c r="H38" s="65"/>
      <c r="I38" s="66"/>
      <c r="J38" s="10"/>
      <c r="K38" s="4"/>
    </row>
    <row r="41" spans="3:11">
      <c r="C41" s="2" t="s">
        <v>34</v>
      </c>
      <c r="D41" s="9">
        <v>50</v>
      </c>
      <c r="E41" s="2" t="s">
        <v>35</v>
      </c>
    </row>
  </sheetData>
  <mergeCells count="42">
    <mergeCell ref="D4:F4"/>
    <mergeCell ref="D34:F34"/>
    <mergeCell ref="G34:I34"/>
    <mergeCell ref="D38:F38"/>
    <mergeCell ref="G38:I38"/>
    <mergeCell ref="D35:F35"/>
    <mergeCell ref="G35:I35"/>
    <mergeCell ref="D36:F36"/>
    <mergeCell ref="G36:I36"/>
    <mergeCell ref="D37:F37"/>
    <mergeCell ref="G37:I37"/>
    <mergeCell ref="D33:F33"/>
    <mergeCell ref="G33:I33"/>
    <mergeCell ref="D30:F30"/>
    <mergeCell ref="G30:I30"/>
    <mergeCell ref="D31:F31"/>
    <mergeCell ref="G31:I31"/>
    <mergeCell ref="D32:F32"/>
    <mergeCell ref="G32:I32"/>
    <mergeCell ref="D29:F29"/>
    <mergeCell ref="G29:I29"/>
    <mergeCell ref="D28:F28"/>
    <mergeCell ref="D25:F25"/>
    <mergeCell ref="D26:F26"/>
    <mergeCell ref="G28:I28"/>
    <mergeCell ref="G27:I27"/>
    <mergeCell ref="D27:F27"/>
    <mergeCell ref="G26:I26"/>
    <mergeCell ref="D6:N6"/>
    <mergeCell ref="D19:F19"/>
    <mergeCell ref="G19:I19"/>
    <mergeCell ref="D20:F20"/>
    <mergeCell ref="G20:I20"/>
    <mergeCell ref="D21:F21"/>
    <mergeCell ref="G21:I21"/>
    <mergeCell ref="G23:I23"/>
    <mergeCell ref="G24:I24"/>
    <mergeCell ref="G25:I25"/>
    <mergeCell ref="D24:F24"/>
    <mergeCell ref="G22:I22"/>
    <mergeCell ref="D22:F22"/>
    <mergeCell ref="D23:F23"/>
  </mergeCells>
  <phoneticPr fontId="1"/>
  <dataValidations count="2">
    <dataValidation type="list" allowBlank="1" showInputMessage="1" showErrorMessage="1" sqref="G19:I38">
      <formula1>$F$8:$F$13</formula1>
    </dataValidation>
    <dataValidation type="list" allowBlank="1" showInputMessage="1" showErrorMessage="1" sqref="D4:F4">
      <formula1>■案件コード■</formula1>
    </dataValidation>
  </dataValidations>
  <pageMargins left="0.78700000000000003" right="0.78700000000000003" top="0.98399999999999999" bottom="0.98399999999999999"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P_GetFileList">
                <anchor moveWithCells="1" sizeWithCells="1">
                  <from>
                    <xdr:col>11</xdr:col>
                    <xdr:colOff>638175</xdr:colOff>
                    <xdr:row>3</xdr:row>
                    <xdr:rowOff>19050</xdr:rowOff>
                  </from>
                  <to>
                    <xdr:col>13</xdr:col>
                    <xdr:colOff>676275</xdr:colOff>
                    <xdr:row>4</xdr:row>
                    <xdr:rowOff>133350</xdr:rowOff>
                  </to>
                </anchor>
              </controlPr>
            </control>
          </mc:Choice>
        </mc:AlternateContent>
        <mc:AlternateContent xmlns:mc="http://schemas.openxmlformats.org/markup-compatibility/2006">
          <mc:Choice Requires="x14">
            <control shapeId="1051" r:id="rId5" name="Button 27">
              <controlPr defaultSize="0" print="0" autoFill="0" autoPict="0" macro="[0]!P_GetFilePageCount_OFF">
                <anchor moveWithCells="1" sizeWithCells="1">
                  <from>
                    <xdr:col>11</xdr:col>
                    <xdr:colOff>647700</xdr:colOff>
                    <xdr:row>16</xdr:row>
                    <xdr:rowOff>28575</xdr:rowOff>
                  </from>
                  <to>
                    <xdr:col>14</xdr:col>
                    <xdr:colOff>0</xdr:colOff>
                    <xdr:row>18</xdr:row>
                    <xdr:rowOff>95250</xdr:rowOff>
                  </to>
                </anchor>
              </controlPr>
            </control>
          </mc:Choice>
        </mc:AlternateContent>
        <mc:AlternateContent xmlns:mc="http://schemas.openxmlformats.org/markup-compatibility/2006">
          <mc:Choice Requires="x14">
            <control shapeId="1054" r:id="rId6" name="Button 30">
              <controlPr defaultSize="0" print="0" autoFill="0" autoPict="0" macro="[0]!P_GetFilePageCount_ON">
                <anchor moveWithCells="1" sizeWithCells="1">
                  <from>
                    <xdr:col>11</xdr:col>
                    <xdr:colOff>657225</xdr:colOff>
                    <xdr:row>19</xdr:row>
                    <xdr:rowOff>9525</xdr:rowOff>
                  </from>
                  <to>
                    <xdr:col>14</xdr:col>
                    <xdr:colOff>9525</xdr:colOff>
                    <xdr:row>22</xdr:row>
                    <xdr:rowOff>76200</xdr:rowOff>
                  </to>
                </anchor>
              </controlPr>
            </control>
          </mc:Choice>
        </mc:AlternateContent>
        <mc:AlternateContent xmlns:mc="http://schemas.openxmlformats.org/markup-compatibility/2006">
          <mc:Choice Requires="x14">
            <control shapeId="1059" r:id="rId7" name="Button 35">
              <controlPr defaultSize="0" print="0" autoFill="0" autoPict="0" macro="[0]!P_Dialog_Folder">
                <anchor moveWithCells="1" sizeWithCells="1">
                  <from>
                    <xdr:col>1</xdr:col>
                    <xdr:colOff>381000</xdr:colOff>
                    <xdr:row>4</xdr:row>
                    <xdr:rowOff>114300</xdr:rowOff>
                  </from>
                  <to>
                    <xdr:col>2</xdr:col>
                    <xdr:colOff>647700</xdr:colOff>
                    <xdr:row>6</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3"/>
  <sheetViews>
    <sheetView zoomScale="85" zoomScaleNormal="85" workbookViewId="0">
      <selection activeCell="E23" sqref="E23"/>
    </sheetView>
  </sheetViews>
  <sheetFormatPr defaultRowHeight="13.5" outlineLevelCol="1"/>
  <cols>
    <col min="1" max="1" width="5.25" style="2" customWidth="1"/>
    <col min="2" max="2" width="100.625" style="2" hidden="1" customWidth="1" outlineLevel="1"/>
    <col min="3" max="3" width="29.25" style="2" bestFit="1" customWidth="1" collapsed="1"/>
    <col min="4" max="4" width="16.625" style="27" customWidth="1"/>
    <col min="5" max="5" width="9" style="5"/>
    <col min="6" max="25" width="5.625" style="5" customWidth="1"/>
    <col min="26" max="16384" width="9" style="2"/>
  </cols>
  <sheetData>
    <row r="1" spans="1:25" ht="20.100000000000001" customHeight="1">
      <c r="A1" s="71" t="s">
        <v>16</v>
      </c>
      <c r="B1" s="74" t="s">
        <v>14</v>
      </c>
      <c r="C1" s="72" t="s">
        <v>13</v>
      </c>
      <c r="D1" s="76" t="s">
        <v>15</v>
      </c>
      <c r="E1" s="74" t="s">
        <v>17</v>
      </c>
      <c r="F1" s="68" t="s">
        <v>1</v>
      </c>
      <c r="G1" s="69"/>
      <c r="H1" s="69"/>
      <c r="I1" s="69"/>
      <c r="J1" s="69"/>
      <c r="K1" s="69"/>
      <c r="L1" s="69"/>
      <c r="M1" s="69"/>
      <c r="N1" s="69"/>
      <c r="O1" s="69"/>
      <c r="P1" s="69"/>
      <c r="Q1" s="69"/>
      <c r="R1" s="69"/>
      <c r="S1" s="69"/>
      <c r="T1" s="69"/>
      <c r="U1" s="69"/>
      <c r="V1" s="69"/>
      <c r="W1" s="69"/>
      <c r="X1" s="69"/>
      <c r="Y1" s="70"/>
    </row>
    <row r="2" spans="1:25" ht="20.100000000000001" customHeight="1">
      <c r="A2" s="71"/>
      <c r="B2" s="75"/>
      <c r="C2" s="73"/>
      <c r="D2" s="77"/>
      <c r="E2" s="75"/>
      <c r="F2" s="4">
        <v>1</v>
      </c>
      <c r="G2" s="4">
        <v>2</v>
      </c>
      <c r="H2" s="4">
        <v>3</v>
      </c>
      <c r="I2" s="4">
        <v>4</v>
      </c>
      <c r="J2" s="4">
        <v>5</v>
      </c>
      <c r="K2" s="4">
        <v>6</v>
      </c>
      <c r="L2" s="4">
        <v>7</v>
      </c>
      <c r="M2" s="4">
        <v>8</v>
      </c>
      <c r="N2" s="4">
        <v>9</v>
      </c>
      <c r="O2" s="4">
        <v>10</v>
      </c>
      <c r="P2" s="4">
        <v>11</v>
      </c>
      <c r="Q2" s="4">
        <v>12</v>
      </c>
      <c r="R2" s="4">
        <v>13</v>
      </c>
      <c r="S2" s="4">
        <v>14</v>
      </c>
      <c r="T2" s="4">
        <v>15</v>
      </c>
      <c r="U2" s="4">
        <v>16</v>
      </c>
      <c r="V2" s="4">
        <v>17</v>
      </c>
      <c r="W2" s="4">
        <v>18</v>
      </c>
      <c r="X2" s="4">
        <v>19</v>
      </c>
      <c r="Y2" s="4">
        <v>20</v>
      </c>
    </row>
    <row r="3" spans="1:25" ht="24.95" customHeight="1">
      <c r="D3" s="26" t="s">
        <v>18</v>
      </c>
      <c r="E3" s="5" t="str">
        <f>IF(COUNTIF(F3:Y3,"×")&gt;0,"",IF(COUNTIF(F3:Y3,"○")&gt;1,"○",""))</f>
        <v/>
      </c>
    </row>
  </sheetData>
  <autoFilter ref="A1:Y1084">
    <filterColumn colId="5" showButton="0"/>
    <filterColumn colId="6" showButton="0"/>
    <filterColumn colId="7" showButton="0"/>
    <filterColumn colId="8" showButton="0"/>
    <filterColumn colId="9" showButton="0"/>
    <filterColumn colId="10" showButton="0"/>
    <filterColumn colId="11" showButton="0"/>
    <filterColumn colId="12" showButton="0"/>
    <filterColumn colId="13" showButton="0"/>
    <filterColumn colId="14" showButton="0"/>
    <filterColumn colId="15" showButton="0"/>
    <filterColumn colId="16" showButton="0"/>
    <filterColumn colId="17" showButton="0"/>
    <filterColumn colId="18" showButton="0"/>
    <filterColumn colId="19" showButton="0"/>
    <filterColumn colId="20" showButton="0"/>
    <filterColumn colId="21" showButton="0"/>
    <filterColumn colId="22" showButton="0"/>
    <filterColumn colId="23" showButton="0"/>
  </autoFilter>
  <sortState ref="B4:C67">
    <sortCondition ref="B4"/>
    <sortCondition ref="C4"/>
  </sortState>
  <mergeCells count="6">
    <mergeCell ref="F1:Y1"/>
    <mergeCell ref="A1:A2"/>
    <mergeCell ref="C1:C2"/>
    <mergeCell ref="B1:B2"/>
    <mergeCell ref="D1:D2"/>
    <mergeCell ref="E1:E2"/>
  </mergeCells>
  <phoneticPr fontId="1"/>
  <pageMargins left="0.78700000000000003" right="0.78700000000000003" top="0.98399999999999999" bottom="0.98399999999999999" header="0.51200000000000001" footer="0.51200000000000001"/>
  <pageSetup paperSize="9" orientation="portrait" verticalDpi="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HJ9"/>
  <sheetViews>
    <sheetView zoomScale="85" zoomScaleNormal="85" workbookViewId="0">
      <selection activeCell="A10" sqref="A10:XFD36"/>
    </sheetView>
  </sheetViews>
  <sheetFormatPr defaultColWidth="10.625" defaultRowHeight="13.5"/>
  <cols>
    <col min="1" max="6" width="10.625" customWidth="1"/>
    <col min="8" max="27" width="10.625" customWidth="1"/>
  </cols>
  <sheetData>
    <row r="1" spans="1:218" s="12" customFormat="1">
      <c r="E1" s="13"/>
      <c r="I1" s="13"/>
      <c r="O1" s="13"/>
      <c r="P1" s="13"/>
    </row>
    <row r="2" spans="1:218" s="12" customFormat="1">
      <c r="I2" s="13"/>
      <c r="O2" s="13"/>
      <c r="P2" s="13"/>
    </row>
    <row r="3" spans="1:218" s="12" customFormat="1">
      <c r="B3" s="30" t="s">
        <v>101</v>
      </c>
      <c r="C3" s="81" t="s">
        <v>102</v>
      </c>
      <c r="D3" s="82"/>
      <c r="E3" s="83"/>
      <c r="I3" s="13"/>
      <c r="O3" s="13"/>
      <c r="P3" s="13"/>
    </row>
    <row r="4" spans="1:218" s="12" customFormat="1">
      <c r="B4" s="22" t="s">
        <v>57</v>
      </c>
      <c r="C4" s="78" t="s">
        <v>75</v>
      </c>
      <c r="D4" s="79"/>
      <c r="E4" s="80"/>
      <c r="I4" s="13"/>
      <c r="O4" s="13"/>
      <c r="P4" s="13"/>
    </row>
    <row r="5" spans="1:218" s="12" customFormat="1">
      <c r="E5" s="13"/>
      <c r="I5" s="13"/>
      <c r="P5" s="13"/>
      <c r="Q5" s="13"/>
    </row>
    <row r="6" spans="1:218" s="12" customFormat="1" ht="27">
      <c r="A6" s="12" t="s">
        <v>39</v>
      </c>
      <c r="B6" s="16" t="s">
        <v>40</v>
      </c>
      <c r="C6" s="25" t="s">
        <v>32</v>
      </c>
      <c r="D6" s="14" t="s">
        <v>13</v>
      </c>
      <c r="E6" s="14" t="s">
        <v>30</v>
      </c>
      <c r="F6" s="14" t="s">
        <v>31</v>
      </c>
      <c r="G6" s="16" t="s">
        <v>49</v>
      </c>
      <c r="H6" s="17" t="s">
        <v>38</v>
      </c>
      <c r="I6" s="17" t="s">
        <v>52</v>
      </c>
      <c r="J6" s="17" t="s">
        <v>53</v>
      </c>
      <c r="K6" s="17" t="s">
        <v>54</v>
      </c>
      <c r="L6" s="17" t="s">
        <v>55</v>
      </c>
      <c r="M6" s="14" t="s">
        <v>50</v>
      </c>
      <c r="N6" s="14" t="s">
        <v>51</v>
      </c>
      <c r="O6" s="17" t="s">
        <v>36</v>
      </c>
      <c r="P6" s="14" t="s">
        <v>37</v>
      </c>
      <c r="Q6" s="14" t="s">
        <v>80</v>
      </c>
      <c r="R6" s="14" t="s">
        <v>81</v>
      </c>
      <c r="S6" s="14" t="s">
        <v>82</v>
      </c>
      <c r="T6" s="14" t="s">
        <v>83</v>
      </c>
      <c r="U6" s="14" t="s">
        <v>84</v>
      </c>
      <c r="V6" s="14" t="s">
        <v>85</v>
      </c>
      <c r="W6" s="14" t="s">
        <v>86</v>
      </c>
      <c r="X6" s="14" t="s">
        <v>87</v>
      </c>
      <c r="Y6" s="14" t="s">
        <v>88</v>
      </c>
      <c r="Z6" s="17" t="s">
        <v>47</v>
      </c>
      <c r="AA6" s="17" t="s">
        <v>48</v>
      </c>
    </row>
    <row r="7" spans="1:218" s="12" customFormat="1">
      <c r="A7" s="12" t="s">
        <v>41</v>
      </c>
      <c r="B7" s="16" t="s">
        <v>42</v>
      </c>
      <c r="C7" s="25" t="s">
        <v>205</v>
      </c>
      <c r="D7" s="15" t="s">
        <v>106</v>
      </c>
      <c r="E7" s="14" t="s">
        <v>58</v>
      </c>
      <c r="F7" s="14" t="s">
        <v>59</v>
      </c>
      <c r="G7" s="16" t="s">
        <v>60</v>
      </c>
      <c r="H7" s="14" t="s">
        <v>61</v>
      </c>
      <c r="I7" s="14" t="s">
        <v>62</v>
      </c>
      <c r="J7" s="14" t="s">
        <v>63</v>
      </c>
      <c r="K7" s="14" t="s">
        <v>64</v>
      </c>
      <c r="L7" s="14" t="s">
        <v>65</v>
      </c>
      <c r="M7" s="14" t="s">
        <v>66</v>
      </c>
      <c r="N7" s="14" t="s">
        <v>67</v>
      </c>
      <c r="O7" s="14" t="s">
        <v>68</v>
      </c>
      <c r="P7" s="14" t="s">
        <v>69</v>
      </c>
      <c r="Q7" s="14" t="s">
        <v>89</v>
      </c>
      <c r="R7" s="14" t="s">
        <v>90</v>
      </c>
      <c r="S7" s="14" t="s">
        <v>91</v>
      </c>
      <c r="T7" s="14" t="s">
        <v>92</v>
      </c>
      <c r="U7" s="14" t="s">
        <v>93</v>
      </c>
      <c r="V7" s="14" t="s">
        <v>94</v>
      </c>
      <c r="W7" s="14" t="s">
        <v>95</v>
      </c>
      <c r="X7" s="14" t="s">
        <v>96</v>
      </c>
      <c r="Y7" s="14" t="s">
        <v>97</v>
      </c>
      <c r="Z7" s="14" t="s">
        <v>70</v>
      </c>
      <c r="AA7" s="14" t="s">
        <v>71</v>
      </c>
    </row>
    <row r="8" spans="1:218" s="12" customFormat="1">
      <c r="A8" s="12" t="s">
        <v>43</v>
      </c>
      <c r="B8" s="16" t="s">
        <v>44</v>
      </c>
      <c r="C8" s="25" t="s">
        <v>44</v>
      </c>
      <c r="D8" s="14" t="s">
        <v>44</v>
      </c>
      <c r="E8" s="14" t="s">
        <v>44</v>
      </c>
      <c r="F8" s="14" t="s">
        <v>45</v>
      </c>
      <c r="G8" s="16" t="s">
        <v>44</v>
      </c>
      <c r="H8" s="14" t="s">
        <v>45</v>
      </c>
      <c r="I8" s="14" t="s">
        <v>45</v>
      </c>
      <c r="J8" s="14" t="s">
        <v>45</v>
      </c>
      <c r="K8" s="14" t="s">
        <v>45</v>
      </c>
      <c r="L8" s="14" t="s">
        <v>45</v>
      </c>
      <c r="M8" s="14" t="s">
        <v>45</v>
      </c>
      <c r="N8" s="14" t="s">
        <v>45</v>
      </c>
      <c r="O8" s="14" t="s">
        <v>45</v>
      </c>
      <c r="P8" s="14" t="s">
        <v>45</v>
      </c>
      <c r="Q8" s="14" t="s">
        <v>45</v>
      </c>
      <c r="R8" s="14" t="s">
        <v>45</v>
      </c>
      <c r="S8" s="14" t="s">
        <v>45</v>
      </c>
      <c r="T8" s="14" t="s">
        <v>45</v>
      </c>
      <c r="U8" s="14" t="s">
        <v>45</v>
      </c>
      <c r="V8" s="14" t="s">
        <v>45</v>
      </c>
      <c r="W8" s="14" t="s">
        <v>45</v>
      </c>
      <c r="X8" s="14" t="s">
        <v>45</v>
      </c>
      <c r="Y8" s="14" t="s">
        <v>45</v>
      </c>
      <c r="Z8" s="14" t="s">
        <v>45</v>
      </c>
      <c r="AA8" s="14" t="s">
        <v>45</v>
      </c>
    </row>
    <row r="9" spans="1:218" s="12" customFormat="1">
      <c r="A9" s="12" t="s">
        <v>46</v>
      </c>
      <c r="B9" s="18" t="s">
        <v>72</v>
      </c>
      <c r="C9" s="19"/>
      <c r="D9" s="18"/>
      <c r="E9" s="18"/>
      <c r="F9" s="18"/>
      <c r="G9" s="18"/>
      <c r="H9" s="18"/>
      <c r="I9" s="18"/>
      <c r="J9" s="18"/>
      <c r="K9" s="18"/>
      <c r="L9" s="18"/>
      <c r="M9" s="18"/>
      <c r="N9" s="18"/>
      <c r="O9" s="18"/>
      <c r="P9" s="18"/>
      <c r="Q9" s="18"/>
      <c r="R9" s="18"/>
      <c r="S9" s="18"/>
      <c r="T9" s="18"/>
      <c r="U9" s="18"/>
      <c r="V9" s="18"/>
      <c r="W9" s="18"/>
      <c r="X9" s="18"/>
      <c r="Y9" s="18"/>
      <c r="Z9" s="18"/>
      <c r="AA9" s="18"/>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c r="DV9" s="21"/>
      <c r="DW9" s="21"/>
      <c r="DX9" s="21"/>
      <c r="DY9" s="21"/>
      <c r="DZ9" s="21"/>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1"/>
      <c r="FD9" s="21"/>
      <c r="FE9" s="21"/>
      <c r="FF9" s="21"/>
      <c r="FG9" s="21"/>
      <c r="FH9" s="21"/>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row>
  </sheetData>
  <autoFilter ref="A9:AA9"/>
  <mergeCells count="2">
    <mergeCell ref="C4:E4"/>
    <mergeCell ref="C3:E3"/>
  </mergeCells>
  <phoneticPr fontId="1"/>
  <dataValidations count="2">
    <dataValidation type="list" allowBlank="1" showInputMessage="1" showErrorMessage="1" sqref="B8:AA8">
      <formula1>"文字列,数値,日付"</formula1>
    </dataValidation>
    <dataValidation type="list" allowBlank="1" showInputMessage="1" showErrorMessage="1" sqref="C3:E3">
      <formula1>DB接続先</formula1>
    </dataValidation>
  </dataValidations>
  <pageMargins left="0.78700000000000003" right="0.78700000000000003" top="0.98399999999999999" bottom="0.98399999999999999"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95" r:id="rId4" name="Button 11">
              <controlPr defaultSize="0" print="0" autoFill="0" autoPict="0" macro="[0]!P_InsertOracle">
                <anchor moveWithCells="1" sizeWithCells="1">
                  <from>
                    <xdr:col>6</xdr:col>
                    <xdr:colOff>0</xdr:colOff>
                    <xdr:row>1</xdr:row>
                    <xdr:rowOff>0</xdr:rowOff>
                  </from>
                  <to>
                    <xdr:col>6</xdr:col>
                    <xdr:colOff>800100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9"/>
  <sheetViews>
    <sheetView topLeftCell="A6" zoomScale="85" zoomScaleNormal="85" workbookViewId="0">
      <selection activeCell="E35" sqref="E35"/>
    </sheetView>
  </sheetViews>
  <sheetFormatPr defaultColWidth="10.625" defaultRowHeight="13.5"/>
  <cols>
    <col min="1" max="6" width="10.625" customWidth="1"/>
  </cols>
  <sheetData>
    <row r="1" spans="1:8" s="23" customFormat="1">
      <c r="E1" s="28"/>
    </row>
    <row r="2" spans="1:8" s="23" customFormat="1">
      <c r="E2" s="28"/>
    </row>
    <row r="3" spans="1:8" s="23" customFormat="1">
      <c r="E3" s="28"/>
    </row>
    <row r="4" spans="1:8" s="23" customFormat="1">
      <c r="B4" s="24" t="s">
        <v>57</v>
      </c>
      <c r="C4" s="78" t="s">
        <v>98</v>
      </c>
      <c r="D4" s="79"/>
      <c r="E4" s="80"/>
    </row>
    <row r="5" spans="1:8" s="23" customFormat="1">
      <c r="E5" s="28"/>
    </row>
    <row r="6" spans="1:8" s="23" customFormat="1">
      <c r="A6" s="23" t="s">
        <v>39</v>
      </c>
      <c r="B6" s="25" t="s">
        <v>40</v>
      </c>
      <c r="C6" s="25" t="s">
        <v>32</v>
      </c>
      <c r="D6" s="15" t="s">
        <v>13</v>
      </c>
      <c r="E6" s="15" t="s">
        <v>30</v>
      </c>
      <c r="F6" s="25" t="s">
        <v>49</v>
      </c>
      <c r="G6" s="15" t="s">
        <v>76</v>
      </c>
      <c r="H6" s="15" t="s">
        <v>77</v>
      </c>
    </row>
    <row r="7" spans="1:8" s="23" customFormat="1">
      <c r="A7" s="23" t="s">
        <v>41</v>
      </c>
      <c r="B7" s="25" t="s">
        <v>42</v>
      </c>
      <c r="C7" s="25" t="s">
        <v>56</v>
      </c>
      <c r="D7" s="15" t="s">
        <v>99</v>
      </c>
      <c r="E7" s="15" t="s">
        <v>58</v>
      </c>
      <c r="F7" s="25" t="s">
        <v>60</v>
      </c>
      <c r="G7" s="15" t="s">
        <v>78</v>
      </c>
      <c r="H7" s="15" t="s">
        <v>79</v>
      </c>
    </row>
    <row r="8" spans="1:8" s="23" customFormat="1">
      <c r="A8" s="23" t="s">
        <v>43</v>
      </c>
      <c r="B8" s="25" t="s">
        <v>44</v>
      </c>
      <c r="C8" s="25" t="s">
        <v>44</v>
      </c>
      <c r="D8" s="15" t="s">
        <v>44</v>
      </c>
      <c r="E8" s="15" t="s">
        <v>44</v>
      </c>
      <c r="F8" s="25" t="s">
        <v>44</v>
      </c>
      <c r="G8" s="15" t="s">
        <v>44</v>
      </c>
      <c r="H8" s="15" t="s">
        <v>44</v>
      </c>
    </row>
    <row r="9" spans="1:8" s="23" customFormat="1">
      <c r="A9" s="23" t="s">
        <v>46</v>
      </c>
      <c r="B9" s="19" t="s">
        <v>72</v>
      </c>
      <c r="C9" s="19"/>
      <c r="D9" s="19"/>
      <c r="E9" s="19"/>
      <c r="F9" s="19"/>
      <c r="G9" s="19"/>
      <c r="H9" s="19"/>
    </row>
  </sheetData>
  <autoFilter ref="B9:H9"/>
  <mergeCells count="1">
    <mergeCell ref="C4:E4"/>
  </mergeCells>
  <phoneticPr fontId="1"/>
  <dataValidations count="1">
    <dataValidation type="list" allowBlank="1" showInputMessage="1" showErrorMessage="1" sqref="B8:H8">
      <formula1>"文字列,数値,日付"</formula1>
    </dataValidation>
  </dataValidations>
  <pageMargins left="0.78700000000000003" right="0.78700000000000003" top="0.98399999999999999" bottom="0.98399999999999999" header="0.51200000000000001" footer="0.51200000000000001"/>
  <pageSetup paperSize="9"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0000"/>
  </sheetPr>
  <dimension ref="B4:O10"/>
  <sheetViews>
    <sheetView zoomScale="80" zoomScaleNormal="80" workbookViewId="0">
      <selection activeCell="H47" sqref="H47"/>
    </sheetView>
  </sheetViews>
  <sheetFormatPr defaultRowHeight="13.5"/>
  <cols>
    <col min="1" max="1" width="2.625" style="58" customWidth="1"/>
    <col min="2" max="5" width="9" style="58"/>
    <col min="6" max="6" width="2.625" style="58" customWidth="1"/>
    <col min="7" max="7" width="9" style="58" customWidth="1"/>
    <col min="8" max="10" width="9" style="58"/>
    <col min="11" max="11" width="2.625" style="58" customWidth="1"/>
    <col min="12" max="15" width="9" style="58"/>
    <col min="16" max="16" width="2.625" style="58" customWidth="1"/>
    <col min="17" max="16384" width="9" style="58"/>
  </cols>
  <sheetData>
    <row r="4" spans="2:15">
      <c r="B4" s="57" t="s">
        <v>101</v>
      </c>
      <c r="C4" s="84" t="s">
        <v>102</v>
      </c>
      <c r="D4" s="85"/>
      <c r="E4" s="86"/>
    </row>
    <row r="5" spans="2:15" ht="14.25" thickBot="1">
      <c r="B5" s="59" t="s">
        <v>73</v>
      </c>
      <c r="E5" s="59"/>
      <c r="G5" s="59" t="s">
        <v>15</v>
      </c>
      <c r="J5" s="59"/>
      <c r="L5" s="59" t="s">
        <v>207</v>
      </c>
      <c r="O5" s="59"/>
    </row>
    <row r="6" spans="2:15" ht="14.25" thickBot="1">
      <c r="B6" s="87"/>
      <c r="C6" s="88"/>
      <c r="D6" s="88"/>
      <c r="E6" s="89"/>
      <c r="G6" s="87"/>
      <c r="H6" s="88"/>
      <c r="I6" s="88"/>
      <c r="J6" s="89"/>
      <c r="L6" s="87"/>
      <c r="M6" s="88"/>
      <c r="N6" s="88"/>
      <c r="O6" s="89"/>
    </row>
    <row r="10" spans="2:15">
      <c r="B10" s="60" t="s">
        <v>73</v>
      </c>
      <c r="C10" s="60"/>
      <c r="D10" s="60"/>
      <c r="E10" s="60"/>
      <c r="G10" s="60" t="s">
        <v>15</v>
      </c>
      <c r="H10" s="60"/>
      <c r="I10" s="60"/>
      <c r="J10" s="60"/>
      <c r="L10" s="60" t="s">
        <v>208</v>
      </c>
      <c r="M10" s="60"/>
      <c r="N10" s="60"/>
      <c r="O10" s="60"/>
    </row>
  </sheetData>
  <mergeCells count="4">
    <mergeCell ref="C4:E4"/>
    <mergeCell ref="B6:E6"/>
    <mergeCell ref="G6:J6"/>
    <mergeCell ref="L6:O6"/>
  </mergeCells>
  <phoneticPr fontId="1"/>
  <dataValidations count="1">
    <dataValidation type="list" allowBlank="1" showInputMessage="1" showErrorMessage="1" sqref="C4">
      <formula1>DB接続先</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P_U_Select_ITEM_CD">
                <anchor moveWithCells="1" sizeWithCells="1">
                  <from>
                    <xdr:col>2</xdr:col>
                    <xdr:colOff>657225</xdr:colOff>
                    <xdr:row>6</xdr:row>
                    <xdr:rowOff>123825</xdr:rowOff>
                  </from>
                  <to>
                    <xdr:col>3</xdr:col>
                    <xdr:colOff>638175</xdr:colOff>
                    <xdr:row>8</xdr:row>
                    <xdr:rowOff>9525</xdr:rowOff>
                  </to>
                </anchor>
              </controlPr>
            </control>
          </mc:Choice>
        </mc:AlternateContent>
        <mc:AlternateContent xmlns:mc="http://schemas.openxmlformats.org/markup-compatibility/2006">
          <mc:Choice Requires="x14">
            <control shapeId="17410" r:id="rId5" name="Button 2">
              <controlPr defaultSize="0" print="0" autoFill="0" autoPict="0" macro="[0]!P_U_SetITEM_NM">
                <anchor moveWithCells="1" sizeWithCells="1">
                  <from>
                    <xdr:col>3</xdr:col>
                    <xdr:colOff>676275</xdr:colOff>
                    <xdr:row>6</xdr:row>
                    <xdr:rowOff>123825</xdr:rowOff>
                  </from>
                  <to>
                    <xdr:col>4</xdr:col>
                    <xdr:colOff>657225</xdr:colOff>
                    <xdr:row>8</xdr:row>
                    <xdr:rowOff>9525</xdr:rowOff>
                  </to>
                </anchor>
              </controlPr>
            </control>
          </mc:Choice>
        </mc:AlternateContent>
        <mc:AlternateContent xmlns:mc="http://schemas.openxmlformats.org/markup-compatibility/2006">
          <mc:Choice Requires="x14">
            <control shapeId="17411" r:id="rId6" name="Button 3">
              <controlPr defaultSize="0" print="0" autoFill="0" autoPict="0" macro="[0]!P_U_Select_PRODUCT_ID">
                <anchor moveWithCells="1" sizeWithCells="1">
                  <from>
                    <xdr:col>7</xdr:col>
                    <xdr:colOff>666750</xdr:colOff>
                    <xdr:row>6</xdr:row>
                    <xdr:rowOff>123825</xdr:rowOff>
                  </from>
                  <to>
                    <xdr:col>8</xdr:col>
                    <xdr:colOff>647700</xdr:colOff>
                    <xdr:row>8</xdr:row>
                    <xdr:rowOff>9525</xdr:rowOff>
                  </to>
                </anchor>
              </controlPr>
            </control>
          </mc:Choice>
        </mc:AlternateContent>
        <mc:AlternateContent xmlns:mc="http://schemas.openxmlformats.org/markup-compatibility/2006">
          <mc:Choice Requires="x14">
            <control shapeId="17412" r:id="rId7" name="Button 4">
              <controlPr defaultSize="0" print="0" autoFill="0" autoPict="0" macro="[0]!P_U_SetPRODUCT_ID">
                <anchor moveWithCells="1" sizeWithCells="1">
                  <from>
                    <xdr:col>9</xdr:col>
                    <xdr:colOff>0</xdr:colOff>
                    <xdr:row>6</xdr:row>
                    <xdr:rowOff>123825</xdr:rowOff>
                  </from>
                  <to>
                    <xdr:col>9</xdr:col>
                    <xdr:colOff>666750</xdr:colOff>
                    <xdr:row>8</xdr:row>
                    <xdr:rowOff>9525</xdr:rowOff>
                  </to>
                </anchor>
              </controlPr>
            </control>
          </mc:Choice>
        </mc:AlternateContent>
        <mc:AlternateContent xmlns:mc="http://schemas.openxmlformats.org/markup-compatibility/2006">
          <mc:Choice Requires="x14">
            <control shapeId="17413" r:id="rId8" name="Button 5">
              <controlPr defaultSize="0" print="0" autoFill="0" autoPict="0" macro="[0]!P_Upper_Cyclomatic">
                <anchor moveWithCells="1" sizeWithCells="1">
                  <from>
                    <xdr:col>16</xdr:col>
                    <xdr:colOff>247650</xdr:colOff>
                    <xdr:row>5</xdr:row>
                    <xdr:rowOff>0</xdr:rowOff>
                  </from>
                  <to>
                    <xdr:col>18</xdr:col>
                    <xdr:colOff>390525</xdr:colOff>
                    <xdr:row>9</xdr:row>
                    <xdr:rowOff>152400</xdr:rowOff>
                  </to>
                </anchor>
              </controlPr>
            </control>
          </mc:Choice>
        </mc:AlternateContent>
        <mc:AlternateContent xmlns:mc="http://schemas.openxmlformats.org/markup-compatibility/2006">
          <mc:Choice Requires="x14">
            <control shapeId="17414" r:id="rId9" name="Button 6">
              <controlPr defaultSize="0" print="0" autoFill="0" autoPict="0" macro="[0]!P_U_Select_VERSION">
                <anchor moveWithCells="1" sizeWithCells="1">
                  <from>
                    <xdr:col>12</xdr:col>
                    <xdr:colOff>666750</xdr:colOff>
                    <xdr:row>6</xdr:row>
                    <xdr:rowOff>123825</xdr:rowOff>
                  </from>
                  <to>
                    <xdr:col>13</xdr:col>
                    <xdr:colOff>647700</xdr:colOff>
                    <xdr:row>8</xdr:row>
                    <xdr:rowOff>9525</xdr:rowOff>
                  </to>
                </anchor>
              </controlPr>
            </control>
          </mc:Choice>
        </mc:AlternateContent>
        <mc:AlternateContent xmlns:mc="http://schemas.openxmlformats.org/markup-compatibility/2006">
          <mc:Choice Requires="x14">
            <control shapeId="17415" r:id="rId10" name="Button 7">
              <controlPr defaultSize="0" print="0" autoFill="0" autoPict="0" macro="[0]!P_U_SetVERSION">
                <anchor moveWithCells="1" sizeWithCells="1">
                  <from>
                    <xdr:col>14</xdr:col>
                    <xdr:colOff>0</xdr:colOff>
                    <xdr:row>6</xdr:row>
                    <xdr:rowOff>123825</xdr:rowOff>
                  </from>
                  <to>
                    <xdr:col>14</xdr:col>
                    <xdr:colOff>666750</xdr:colOff>
                    <xdr:row>8</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1:AI9"/>
  <sheetViews>
    <sheetView zoomScale="85" zoomScaleNormal="85" workbookViewId="0">
      <pane xSplit="3" ySplit="9" topLeftCell="J10" activePane="bottomRight" state="frozen"/>
      <selection activeCell="B4" sqref="B4"/>
      <selection pane="topRight" activeCell="B4" sqref="B4"/>
      <selection pane="bottomLeft" activeCell="B4" sqref="B4"/>
      <selection pane="bottomRight" activeCell="A10" sqref="A10:XFD23"/>
    </sheetView>
  </sheetViews>
  <sheetFormatPr defaultRowHeight="13.5"/>
  <cols>
    <col min="1" max="1" width="3.25" customWidth="1"/>
    <col min="2" max="2" width="20.625" customWidth="1"/>
    <col min="3" max="35" width="5.625" customWidth="1"/>
  </cols>
  <sheetData>
    <row r="1" spans="2:35" s="32" customFormat="1">
      <c r="B1" s="31"/>
      <c r="G1" s="31"/>
      <c r="AA1" s="33"/>
      <c r="AB1" s="33"/>
      <c r="AC1" s="33"/>
      <c r="AD1" s="33"/>
      <c r="AE1" s="33"/>
      <c r="AF1" s="33"/>
      <c r="AG1" s="33"/>
      <c r="AH1" s="33"/>
    </row>
    <row r="2" spans="2:35" s="32" customFormat="1">
      <c r="B2" s="31"/>
      <c r="G2" s="31"/>
      <c r="AA2" s="33" t="s">
        <v>107</v>
      </c>
      <c r="AB2" s="33">
        <v>1</v>
      </c>
      <c r="AC2" s="33"/>
      <c r="AD2" s="33"/>
      <c r="AE2" s="33"/>
      <c r="AF2" s="33"/>
      <c r="AG2" s="33"/>
      <c r="AH2" s="33"/>
    </row>
    <row r="3" spans="2:35" s="32" customFormat="1">
      <c r="B3" s="31"/>
      <c r="G3" s="31"/>
      <c r="AA3" s="33" t="s">
        <v>108</v>
      </c>
      <c r="AB3" s="33">
        <v>0.8</v>
      </c>
      <c r="AC3" s="33"/>
      <c r="AD3" s="33"/>
      <c r="AE3" s="33"/>
      <c r="AF3" s="33"/>
      <c r="AG3" s="33"/>
      <c r="AH3" s="33"/>
    </row>
    <row r="4" spans="2:35" s="32" customFormat="1">
      <c r="B4" s="13"/>
      <c r="C4" s="12"/>
      <c r="D4" s="34"/>
      <c r="E4" s="34"/>
      <c r="F4" s="34"/>
      <c r="G4" s="31"/>
      <c r="AA4" s="33" t="s">
        <v>109</v>
      </c>
      <c r="AB4" s="33">
        <v>0.5</v>
      </c>
      <c r="AC4" s="33"/>
      <c r="AD4" s="33"/>
      <c r="AE4" s="33"/>
      <c r="AF4" s="33"/>
      <c r="AG4" s="33"/>
      <c r="AH4" s="33"/>
    </row>
    <row r="5" spans="2:35" s="32" customFormat="1">
      <c r="B5" s="31"/>
      <c r="G5" s="31"/>
      <c r="Y5" s="31"/>
      <c r="AA5" s="33" t="s">
        <v>110</v>
      </c>
      <c r="AB5" s="33">
        <v>0.5</v>
      </c>
      <c r="AC5" s="33"/>
      <c r="AD5" s="33"/>
      <c r="AE5" s="33"/>
      <c r="AF5" s="33"/>
      <c r="AG5" s="33"/>
      <c r="AH5" s="33"/>
    </row>
    <row r="6" spans="2:35" s="32" customFormat="1">
      <c r="B6" s="13"/>
      <c r="C6" s="12"/>
      <c r="D6" s="34"/>
      <c r="E6" s="34" t="s">
        <v>203</v>
      </c>
      <c r="F6" s="34"/>
      <c r="G6" s="31"/>
      <c r="AA6" s="33" t="s">
        <v>111</v>
      </c>
      <c r="AB6" s="33">
        <v>1</v>
      </c>
      <c r="AC6" s="33"/>
      <c r="AD6" s="33">
        <v>0.25</v>
      </c>
      <c r="AE6" s="33">
        <v>0.25</v>
      </c>
      <c r="AF6" s="33"/>
      <c r="AG6" s="33">
        <v>0.5</v>
      </c>
      <c r="AH6" s="33"/>
    </row>
    <row r="7" spans="2:35" s="32" customFormat="1">
      <c r="B7" s="31"/>
      <c r="E7" s="32">
        <v>30</v>
      </c>
      <c r="G7" s="31"/>
      <c r="P7" s="47">
        <v>1</v>
      </c>
      <c r="Q7" s="47">
        <v>2</v>
      </c>
      <c r="R7" s="47">
        <v>3</v>
      </c>
      <c r="S7" s="47">
        <v>4</v>
      </c>
      <c r="T7" s="47">
        <v>5</v>
      </c>
      <c r="U7" s="47">
        <v>6</v>
      </c>
      <c r="V7" s="47">
        <v>7</v>
      </c>
      <c r="W7" s="47">
        <v>8</v>
      </c>
      <c r="X7" s="47">
        <v>9</v>
      </c>
      <c r="AA7" s="33"/>
      <c r="AB7" s="33"/>
      <c r="AC7" s="33"/>
      <c r="AD7" s="33"/>
      <c r="AE7" s="33"/>
      <c r="AF7" s="33"/>
      <c r="AG7" s="33"/>
      <c r="AH7" s="33"/>
    </row>
    <row r="8" spans="2:35" s="32" customFormat="1">
      <c r="B8" s="31"/>
      <c r="G8" s="31"/>
      <c r="P8" s="48">
        <v>10</v>
      </c>
      <c r="Q8" s="48">
        <v>10.5</v>
      </c>
      <c r="R8" s="48">
        <v>10.5</v>
      </c>
      <c r="S8" s="48">
        <v>11</v>
      </c>
      <c r="T8" s="48">
        <v>11</v>
      </c>
      <c r="U8" s="48">
        <v>11</v>
      </c>
      <c r="V8" s="48">
        <v>11</v>
      </c>
      <c r="W8" s="48">
        <v>11.25</v>
      </c>
      <c r="X8" s="48">
        <v>11.25</v>
      </c>
      <c r="AA8" s="33"/>
      <c r="AB8" s="33"/>
      <c r="AC8" s="33"/>
      <c r="AD8" s="33"/>
      <c r="AE8" s="33"/>
      <c r="AF8" s="33"/>
      <c r="AG8" s="33"/>
      <c r="AH8" s="33"/>
    </row>
    <row r="9" spans="2:35" s="32" customFormat="1" ht="99.95" customHeight="1">
      <c r="B9" s="25" t="s">
        <v>32</v>
      </c>
      <c r="C9" s="35" t="s">
        <v>112</v>
      </c>
      <c r="D9" s="35" t="s">
        <v>31</v>
      </c>
      <c r="E9" s="56" t="s">
        <v>202</v>
      </c>
      <c r="F9" s="35" t="s">
        <v>113</v>
      </c>
      <c r="G9" s="36" t="s">
        <v>49</v>
      </c>
      <c r="H9" s="46" t="s">
        <v>149</v>
      </c>
      <c r="I9" s="37" t="s">
        <v>52</v>
      </c>
      <c r="J9" s="37" t="s">
        <v>114</v>
      </c>
      <c r="K9" s="37" t="s">
        <v>115</v>
      </c>
      <c r="L9" s="37" t="s">
        <v>116</v>
      </c>
      <c r="M9" s="37" t="s">
        <v>50</v>
      </c>
      <c r="N9" s="46" t="s">
        <v>150</v>
      </c>
      <c r="O9" s="37" t="s">
        <v>37</v>
      </c>
      <c r="P9" s="38" t="s">
        <v>80</v>
      </c>
      <c r="Q9" s="38" t="s">
        <v>81</v>
      </c>
      <c r="R9" s="38" t="s">
        <v>82</v>
      </c>
      <c r="S9" s="38" t="s">
        <v>83</v>
      </c>
      <c r="T9" s="38" t="s">
        <v>84</v>
      </c>
      <c r="U9" s="38" t="s">
        <v>85</v>
      </c>
      <c r="V9" s="38" t="s">
        <v>86</v>
      </c>
      <c r="W9" s="38" t="s">
        <v>87</v>
      </c>
      <c r="X9" s="38" t="s">
        <v>88</v>
      </c>
      <c r="Y9" s="37" t="s">
        <v>117</v>
      </c>
      <c r="Z9" s="37" t="s">
        <v>118</v>
      </c>
      <c r="AA9" s="39" t="s">
        <v>119</v>
      </c>
      <c r="AB9" s="39" t="s">
        <v>120</v>
      </c>
      <c r="AC9" s="40" t="s">
        <v>121</v>
      </c>
      <c r="AD9" s="41" t="s">
        <v>122</v>
      </c>
      <c r="AE9" s="41" t="s">
        <v>123</v>
      </c>
      <c r="AF9" s="40" t="s">
        <v>124</v>
      </c>
      <c r="AG9" s="40" t="s">
        <v>125</v>
      </c>
      <c r="AH9" s="42" t="s">
        <v>126</v>
      </c>
      <c r="AI9" s="40" t="s">
        <v>127</v>
      </c>
    </row>
  </sheetData>
  <autoFilter ref="B9:AI9"/>
  <phoneticPr fontId="1"/>
  <pageMargins left="0.78700000000000003" right="0.78700000000000003" top="0.98399999999999999" bottom="0.98399999999999999" header="0.51200000000000001" footer="0.51200000000000001"/>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AM9"/>
  <sheetViews>
    <sheetView zoomScale="85" zoomScaleNormal="85" workbookViewId="0">
      <selection activeCell="I25" sqref="I25"/>
    </sheetView>
  </sheetViews>
  <sheetFormatPr defaultColWidth="10.625" defaultRowHeight="13.5"/>
  <cols>
    <col min="2" max="2" width="20.625" customWidth="1"/>
    <col min="3" max="3" width="8.125" customWidth="1"/>
    <col min="4" max="12" width="5.625" customWidth="1"/>
    <col min="13" max="24" width="5.625" hidden="1" customWidth="1"/>
    <col min="25" max="39" width="5.625" customWidth="1"/>
  </cols>
  <sheetData>
    <row r="1" spans="2:39" s="32" customFormat="1">
      <c r="B1" s="31"/>
      <c r="C1" s="31"/>
      <c r="L1" s="43"/>
      <c r="N1" s="43"/>
      <c r="Q1" s="43"/>
      <c r="S1" s="43"/>
      <c r="V1" s="43"/>
    </row>
    <row r="2" spans="2:39" s="32" customFormat="1">
      <c r="B2" s="31"/>
      <c r="C2" s="31"/>
      <c r="K2" s="32" t="s">
        <v>151</v>
      </c>
      <c r="L2" s="43"/>
      <c r="N2" s="43"/>
      <c r="Q2" s="43"/>
      <c r="S2" s="43"/>
      <c r="V2" s="43"/>
    </row>
    <row r="3" spans="2:39" s="32" customFormat="1">
      <c r="B3" s="31"/>
      <c r="C3" s="31"/>
      <c r="K3" s="32" t="s">
        <v>152</v>
      </c>
      <c r="L3" s="43"/>
      <c r="N3" s="43"/>
      <c r="Q3" s="43"/>
      <c r="S3" s="43"/>
      <c r="V3" s="43"/>
    </row>
    <row r="4" spans="2:39" s="32" customFormat="1">
      <c r="B4" s="13"/>
      <c r="C4" s="31"/>
      <c r="K4" s="32" t="s">
        <v>153</v>
      </c>
      <c r="L4" s="43"/>
      <c r="N4" s="43"/>
      <c r="Q4" s="43"/>
      <c r="S4" s="43"/>
      <c r="V4" s="43"/>
    </row>
    <row r="5" spans="2:39" s="32" customFormat="1">
      <c r="B5" s="31"/>
      <c r="C5" s="31"/>
      <c r="K5" s="32" t="s">
        <v>154</v>
      </c>
      <c r="L5" s="43"/>
      <c r="N5" s="43"/>
      <c r="Q5" s="43"/>
      <c r="S5" s="43"/>
      <c r="V5" s="43"/>
      <c r="AF5" s="31"/>
    </row>
    <row r="6" spans="2:39" s="32" customFormat="1">
      <c r="B6" s="13"/>
      <c r="C6" s="31"/>
      <c r="K6" s="32" t="s">
        <v>155</v>
      </c>
      <c r="L6" s="43"/>
      <c r="N6" s="43"/>
      <c r="Q6" s="43"/>
      <c r="S6" s="43"/>
      <c r="V6" s="43"/>
    </row>
    <row r="7" spans="2:39" s="32" customFormat="1">
      <c r="B7" s="31"/>
      <c r="C7" s="31"/>
      <c r="L7" s="43"/>
      <c r="N7" s="43"/>
      <c r="Q7" s="43"/>
      <c r="S7" s="43"/>
      <c r="V7" s="43"/>
    </row>
    <row r="8" spans="2:39" s="32" customFormat="1">
      <c r="B8" s="31"/>
      <c r="C8" s="31"/>
      <c r="L8" s="43"/>
      <c r="N8" s="43"/>
      <c r="Q8" s="43"/>
      <c r="S8" s="43"/>
      <c r="V8" s="43"/>
    </row>
    <row r="9" spans="2:39" s="32" customFormat="1" ht="99.95" customHeight="1">
      <c r="B9" s="25" t="s">
        <v>32</v>
      </c>
      <c r="C9" s="16" t="s">
        <v>49</v>
      </c>
      <c r="D9" s="17" t="s">
        <v>149</v>
      </c>
      <c r="E9" s="37" t="s">
        <v>128</v>
      </c>
      <c r="F9" s="37" t="s">
        <v>129</v>
      </c>
      <c r="G9" s="37" t="s">
        <v>130</v>
      </c>
      <c r="H9" s="37" t="s">
        <v>131</v>
      </c>
      <c r="I9" s="37" t="s">
        <v>132</v>
      </c>
      <c r="J9" s="17" t="s">
        <v>150</v>
      </c>
      <c r="K9" s="37" t="s">
        <v>37</v>
      </c>
      <c r="L9" s="56" t="s">
        <v>202</v>
      </c>
      <c r="M9" s="37" t="s">
        <v>133</v>
      </c>
      <c r="N9" s="44" t="s">
        <v>134</v>
      </c>
      <c r="O9" s="37" t="s">
        <v>135</v>
      </c>
      <c r="P9" s="44" t="s">
        <v>136</v>
      </c>
      <c r="Q9" s="37" t="s">
        <v>137</v>
      </c>
      <c r="R9" s="37" t="s">
        <v>138</v>
      </c>
      <c r="S9" s="44" t="s">
        <v>139</v>
      </c>
      <c r="T9" s="37" t="s">
        <v>140</v>
      </c>
      <c r="U9" s="44" t="s">
        <v>141</v>
      </c>
      <c r="V9" s="37" t="s">
        <v>142</v>
      </c>
      <c r="W9" s="37" t="s">
        <v>143</v>
      </c>
      <c r="X9" s="44" t="s">
        <v>144</v>
      </c>
      <c r="Y9" s="38" t="s">
        <v>80</v>
      </c>
      <c r="Z9" s="38" t="s">
        <v>81</v>
      </c>
      <c r="AA9" s="38" t="s">
        <v>82</v>
      </c>
      <c r="AB9" s="38" t="s">
        <v>83</v>
      </c>
      <c r="AC9" s="38" t="s">
        <v>84</v>
      </c>
      <c r="AD9" s="38" t="s">
        <v>85</v>
      </c>
      <c r="AE9" s="38" t="s">
        <v>86</v>
      </c>
      <c r="AF9" s="38" t="s">
        <v>87</v>
      </c>
      <c r="AG9" s="38" t="s">
        <v>88</v>
      </c>
      <c r="AH9" s="37" t="s">
        <v>117</v>
      </c>
      <c r="AI9" s="37" t="s">
        <v>118</v>
      </c>
      <c r="AJ9" s="45" t="s">
        <v>145</v>
      </c>
      <c r="AK9" s="45" t="s">
        <v>146</v>
      </c>
      <c r="AL9" s="45" t="s">
        <v>147</v>
      </c>
      <c r="AM9" s="45" t="s">
        <v>148</v>
      </c>
    </row>
  </sheetData>
  <autoFilter ref="B9:AM9"/>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indexed="23"/>
  </sheetPr>
  <dimension ref="A4"/>
  <sheetViews>
    <sheetView workbookViewId="0">
      <selection activeCell="H23" sqref="H23"/>
    </sheetView>
  </sheetViews>
  <sheetFormatPr defaultRowHeight="13.5"/>
  <cols>
    <col min="1" max="16384" width="9" style="20"/>
  </cols>
  <sheetData>
    <row r="4" spans="1:1">
      <c r="A4" s="20" t="s">
        <v>74</v>
      </c>
    </row>
  </sheetData>
  <phoneticPr fontId="1"/>
  <pageMargins left="0.78700000000000003" right="0.78700000000000003" top="0.98399999999999999" bottom="0.98399999999999999" header="0.51200000000000001" footer="0.5120000000000000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7030A0"/>
  </sheetPr>
  <dimension ref="A1:B4"/>
  <sheetViews>
    <sheetView tabSelected="1" workbookViewId="0">
      <selection activeCell="C5" sqref="C5"/>
    </sheetView>
  </sheetViews>
  <sheetFormatPr defaultRowHeight="13.5"/>
  <cols>
    <col min="1" max="1" width="29.375" style="20" bestFit="1" customWidth="1"/>
    <col min="2" max="2" width="90.375" style="20" bestFit="1" customWidth="1"/>
    <col min="3" max="16384" width="9" style="20"/>
  </cols>
  <sheetData>
    <row r="1" spans="1:2">
      <c r="A1" s="20" t="s">
        <v>101</v>
      </c>
    </row>
    <row r="2" spans="1:2">
      <c r="A2" s="20" t="s">
        <v>102</v>
      </c>
      <c r="B2" s="20" t="s">
        <v>216</v>
      </c>
    </row>
    <row r="3" spans="1:2">
      <c r="A3" s="20" t="s">
        <v>103</v>
      </c>
      <c r="B3" s="20" t="s">
        <v>212</v>
      </c>
    </row>
    <row r="4" spans="1:2">
      <c r="A4" s="20" t="s">
        <v>104</v>
      </c>
      <c r="B4" s="20" t="s">
        <v>105</v>
      </c>
    </row>
  </sheetData>
  <phoneticPr fontId="1"/>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8"/>
  <sheetViews>
    <sheetView workbookViewId="0">
      <selection activeCell="D10" sqref="D10"/>
    </sheetView>
  </sheetViews>
  <sheetFormatPr defaultColWidth="9.625" defaultRowHeight="13.5"/>
  <cols>
    <col min="1" max="2" width="10.625" customWidth="1"/>
    <col min="3" max="3" width="100.625" customWidth="1"/>
  </cols>
  <sheetData>
    <row r="1" spans="1:4">
      <c r="A1" s="49" t="s">
        <v>156</v>
      </c>
      <c r="B1" s="49" t="s">
        <v>157</v>
      </c>
      <c r="C1" s="49" t="s">
        <v>158</v>
      </c>
    </row>
    <row r="2" spans="1:4" ht="27">
      <c r="A2" s="50">
        <v>40996</v>
      </c>
      <c r="B2" t="s">
        <v>159</v>
      </c>
      <c r="C2" s="51" t="s">
        <v>161</v>
      </c>
      <c r="D2" t="s">
        <v>160</v>
      </c>
    </row>
    <row r="3" spans="1:4" ht="27">
      <c r="A3" s="50">
        <v>41001</v>
      </c>
      <c r="B3" t="s">
        <v>159</v>
      </c>
      <c r="C3" s="51" t="s">
        <v>173</v>
      </c>
      <c r="D3" t="s">
        <v>160</v>
      </c>
    </row>
    <row r="4" spans="1:4" ht="27">
      <c r="A4" s="50">
        <v>41023</v>
      </c>
      <c r="B4" t="s">
        <v>159</v>
      </c>
      <c r="C4" s="51" t="s">
        <v>201</v>
      </c>
      <c r="D4" t="s">
        <v>200</v>
      </c>
    </row>
    <row r="5" spans="1:4" ht="67.5">
      <c r="A5" s="50">
        <v>41052</v>
      </c>
      <c r="B5" t="s">
        <v>159</v>
      </c>
      <c r="C5" s="51" t="s">
        <v>206</v>
      </c>
      <c r="D5" t="s">
        <v>204</v>
      </c>
    </row>
    <row r="6" spans="1:4" ht="54">
      <c r="A6" s="50">
        <v>41099</v>
      </c>
      <c r="B6" t="s">
        <v>159</v>
      </c>
      <c r="C6" s="51" t="s">
        <v>210</v>
      </c>
      <c r="D6" t="s">
        <v>209</v>
      </c>
    </row>
    <row r="7" spans="1:4">
      <c r="A7" s="50">
        <v>41255</v>
      </c>
      <c r="B7" t="s">
        <v>159</v>
      </c>
      <c r="C7" s="51" t="s">
        <v>214</v>
      </c>
      <c r="D7" t="s">
        <v>211</v>
      </c>
    </row>
    <row r="8" spans="1:4">
      <c r="A8" s="50">
        <v>41281</v>
      </c>
      <c r="B8" t="s">
        <v>159</v>
      </c>
      <c r="C8" s="51" t="s">
        <v>213</v>
      </c>
      <c r="D8" t="s">
        <v>215</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4</vt:i4>
      </vt:variant>
    </vt:vector>
  </HeadingPairs>
  <TitlesOfParts>
    <vt:vector size="17" baseType="lpstr">
      <vt:lpstr>【説明】手順</vt:lpstr>
      <vt:lpstr>【説明】変更箇所の検知</vt:lpstr>
      <vt:lpstr>【説明】アドイン設定</vt:lpstr>
      <vt:lpstr>設定(計測・登録)</vt:lpstr>
      <vt:lpstr>一覧</vt:lpstr>
      <vt:lpstr>結果</vt:lpstr>
      <vt:lpstr>結果（BMC・BSP）</vt:lpstr>
      <vt:lpstr>設定(検索・見積)</vt:lpstr>
      <vt:lpstr>仕様書別計測・見積結果</vt:lpstr>
      <vt:lpstr>計測・見積結果</vt:lpstr>
      <vt:lpstr>選択肢</vt:lpstr>
      <vt:lpstr>接続先</vt:lpstr>
      <vt:lpstr>改訂履歴</vt:lpstr>
      <vt:lpstr>■案件コード■</vt:lpstr>
      <vt:lpstr>DB接続先</vt:lpstr>
      <vt:lpstr>【説明】手順!Print_Area</vt:lpstr>
      <vt:lpstr>【説明】変更箇所の検知!Print_Area</vt:lpstr>
    </vt:vector>
  </TitlesOfParts>
  <Company>株式会社　村田製作所</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M16135H</dc:creator>
  <cp:lastModifiedBy>MMA1M3 KSC 竹本 靖</cp:lastModifiedBy>
  <cp:lastPrinted>2011-07-06T00:48:30Z</cp:lastPrinted>
  <dcterms:created xsi:type="dcterms:W3CDTF">2011-05-07T06:03:20Z</dcterms:created>
  <dcterms:modified xsi:type="dcterms:W3CDTF">2013-07-18T08:43:34Z</dcterms:modified>
</cp:coreProperties>
</file>