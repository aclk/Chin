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hidePivotFieldList="1" defaultThemeVersion="124226"/>
  <bookViews>
    <workbookView xWindow="4605" yWindow="165" windowWidth="19320" windowHeight="12735"/>
  </bookViews>
  <sheets>
    <sheet name="現在" sheetId="1" r:id="rId1"/>
    <sheet name="休日設定" sheetId="2" r:id="rId2"/>
    <sheet name="リソース" sheetId="3" r:id="rId3"/>
    <sheet name="MailSettings" sheetId="4" state="hidden" r:id="rId4"/>
  </sheets>
  <functionGroups/>
  <definedNames>
    <definedName name="_xlnm._FilterDatabase" localSheetId="1" hidden="1">休日設定!$A$1:$B$77</definedName>
    <definedName name="_xlnm._FilterDatabase" localSheetId="0" hidden="1">現在!$W$5:$W$91</definedName>
    <definedName name="Resource">リソース!$A$1:$A$101</definedName>
    <definedName name="Z_00243EA4_7E30_454D_9F43_771BE1EBC51C_.wvu.FilterData" localSheetId="0" hidden="1">現在!$A$5:$GG$7</definedName>
    <definedName name="Z_0036BA94_EB8F_4CF1_B812_A31858E7403A_.wvu.FilterData" localSheetId="0" hidden="1">現在!$A$6:$GG$7</definedName>
    <definedName name="Z_0051C795_7267_42FC_9D24_9FC93FAC4C10_.wvu.FilterData" localSheetId="0" hidden="1">現在!$A$5:$GG$7</definedName>
    <definedName name="Z_007FE475_BEAC_45CE_9EB8_536C16B3194D_.wvu.FilterData" localSheetId="0" hidden="1">現在!$A$5:$GG$6</definedName>
    <definedName name="Z_00B15661_4B5A_4EA9_A821_8C60B74A4B85_.wvu.FilterData" localSheetId="0" hidden="1">現在!$A$5:$AB$6</definedName>
    <definedName name="Z_00D307E4_F036_43B1_AE6F_7FEBAA35DCA5_.wvu.FilterData" localSheetId="0" hidden="1">現在!$A$5:$GG$7</definedName>
    <definedName name="Z_00FD0525_2021_4931_AD88_2DD0E1A68889_.wvu.FilterData" localSheetId="0" hidden="1">現在!$A$5:$GG$6</definedName>
    <definedName name="Z_011F9415_003D_41DE_AFBD_64689FF2741F_.wvu.FilterData" localSheetId="0" hidden="1">現在!$A$5:$GG$7</definedName>
    <definedName name="Z_012810D4_C68F_4687_AAE1_E0BA5B256BE0_.wvu.FilterData" localSheetId="0" hidden="1">現在!$A$5:$GG$6</definedName>
    <definedName name="Z_0134B1E9_2F5B_4756_A9B8_4116C14EEA86_.wvu.FilterData" localSheetId="0" hidden="1">現在!$A$5:$GG$6</definedName>
    <definedName name="Z_0166DD8E_6AB8_4BDA_A75F_2E5577193C28_.wvu.FilterData" localSheetId="0" hidden="1">現在!$A$5:$GG$7</definedName>
    <definedName name="Z_01680851_2EDC_41C5_AE5D_456C3351EB05_.wvu.FilterData" localSheetId="0" hidden="1">現在!$A$4:$GG$7</definedName>
    <definedName name="Z_016C2A06_A70F_4660_B1D4_9609C59664A4_.wvu.FilterData" localSheetId="0" hidden="1">現在!$A$5:$GG$6</definedName>
    <definedName name="Z_0172D863_CA3B_4A50_A7D6_6BEB9B9FEDB3_.wvu.FilterData" localSheetId="0" hidden="1">現在!$A$5:$GG$7</definedName>
    <definedName name="Z_0178244B_3DB2_4CA3_9DA7_019B8A8070B4_.wvu.FilterData" localSheetId="0" hidden="1">現在!$A$5:$GG$7</definedName>
    <definedName name="Z_018FEF82_470D_473F_8382_2A879F186084_.wvu.FilterData" localSheetId="0" hidden="1">現在!$A$5:$GG$7</definedName>
    <definedName name="Z_01FD24B6_50D9_4EFD_BDDF_9B1EE73C1239_.wvu.FilterData" localSheetId="0" hidden="1">現在!$A$5:$GG$6</definedName>
    <definedName name="Z_023F5280_1871_498D_B5F4_6794C2002684_.wvu.FilterData" localSheetId="0" hidden="1">現在!$A$5:$GG$6</definedName>
    <definedName name="Z_024353B9_9070_40EF_89B6_D7847A4BC7BE_.wvu.FilterData" localSheetId="0" hidden="1">現在!$A$5:$GG$6</definedName>
    <definedName name="Z_027E4E25_826C_4921_92F3_2E5AF1DEFE4A_.wvu.FilterData" localSheetId="0" hidden="1">現在!$A$5:$GG$6</definedName>
    <definedName name="Z_028D8E1E_52DA_4B6D_9270_1E90841ECC69_.wvu.FilterData" localSheetId="0" hidden="1">現在!$A$5:$GG$6</definedName>
    <definedName name="Z_0292DD7C_B2A3_4905_80D2_7077595F5177_.wvu.FilterData" localSheetId="0" hidden="1">現在!$A$6:$GG$7</definedName>
    <definedName name="Z_02C6EE15_629B_4F22_9FB3_DAF4C03709D0_.wvu.FilterData" localSheetId="0" hidden="1">現在!$A$6:$GG$7</definedName>
    <definedName name="Z_02DAE12D_139D_4430_8688_3AB18B8A2BEF_.wvu.FilterData" localSheetId="0" hidden="1">現在!$A$5:$GG$6</definedName>
    <definedName name="Z_02E816A3_E3BC_4DD5_A568_71868CE80E25_.wvu.FilterData" localSheetId="0" hidden="1">現在!$A$5:$GG$7</definedName>
    <definedName name="Z_031982B8_F251_4367_BA8C_763B012BC788_.wvu.FilterData" localSheetId="0" hidden="1">現在!$A$4:$GG$7</definedName>
    <definedName name="Z_0333E1CA_8601_4970_B6B9_20C5E0C2776C_.wvu.FilterData" localSheetId="0" hidden="1">現在!$A$5:$AB$6</definedName>
    <definedName name="Z_0381D9D4_C433_4A81_85B5_9DDDF7C0D497_.wvu.FilterData" localSheetId="0" hidden="1">現在!$A$5:$GG$6</definedName>
    <definedName name="Z_0393580E_28B6_4971_A48C_1F4E4AE17BE3_.wvu.FilterData" localSheetId="0" hidden="1">現在!$A$5:$GG$6</definedName>
    <definedName name="Z_03AB993B_B949_40EC_B1E3_093F6C492DFB_.wvu.FilterData" localSheetId="0" hidden="1">現在!$A$5:$GG$7</definedName>
    <definedName name="Z_03AC6FAA_4FED_45DD_BBEF_246E5293A037_.wvu.FilterData" localSheetId="0" hidden="1">現在!$A$5:$GG$6</definedName>
    <definedName name="Z_0460244C_FFDD_4D36_9A33_2ACA84CC0490_.wvu.FilterData" localSheetId="0" hidden="1">現在!$A$5:$GG$6</definedName>
    <definedName name="Z_04836387_2A2B_47C3_A585_D38B5E37015A_.wvu.FilterData" localSheetId="0" hidden="1">現在!$A$5:$GG$7</definedName>
    <definedName name="Z_0483D91C_B543_450F_A613_B54B21E9B950_.wvu.FilterData" localSheetId="0" hidden="1">現在!$A$5:$GG$6</definedName>
    <definedName name="Z_04B664A6_564F_4FC0_B132_829850A23CC1_.wvu.FilterData" localSheetId="0" hidden="1">現在!$A$5:$GG$7</definedName>
    <definedName name="Z_04D9C976_3792_4467_A471_CCD3A5CF0865_.wvu.FilterData" localSheetId="0" hidden="1">現在!$A$5:$AB$6</definedName>
    <definedName name="Z_04E5910C_2663_43F2_A4AA_C1A58D631DE4_.wvu.FilterData" localSheetId="0" hidden="1">現在!$A$5:$AB$6</definedName>
    <definedName name="Z_050112C6_55E8_48D5_91F4_AC3BCFB44E7B_.wvu.FilterData" localSheetId="0" hidden="1">現在!$A$5:$GG$7</definedName>
    <definedName name="Z_0518ECA3_E6E6_4226_9FA8_949A729E8226_.wvu.FilterData" localSheetId="0" hidden="1">現在!$A$5:$AB$6</definedName>
    <definedName name="Z_0535EA9A_E556_4F14_97C5_C9E18D609B1C_.wvu.FilterData" localSheetId="0" hidden="1">現在!$A$5:$GG$7</definedName>
    <definedName name="Z_05424B16_75E7_4D55_97DA_1B07106F66F0_.wvu.FilterData" localSheetId="0" hidden="1">現在!$A$5:$GG$7</definedName>
    <definedName name="Z_0554C6D9_5736_4BFC_9D94_AA37E8137F9B_.wvu.FilterData" localSheetId="0" hidden="1">現在!$A$5:$GG$6</definedName>
    <definedName name="Z_05B95B98_74D0_434E_ABC7_D7A4E2970B24_.wvu.FilterData" localSheetId="0" hidden="1">現在!$A$4:$GG$7</definedName>
    <definedName name="Z_05D40356_079D_4395_873D_431DCC2CAE6F_.wvu.FilterData" localSheetId="1" hidden="1">休日設定!$A$1:$B$77</definedName>
    <definedName name="Z_05D40356_079D_4395_873D_431DCC2CAE6F_.wvu.FilterData" localSheetId="0" hidden="1">現在!$A$5:$GG$7</definedName>
    <definedName name="Z_05E0C90F_04D8_49E2_B21D_C0C8128CF508_.wvu.FilterData" localSheetId="0" hidden="1">現在!$A$5:$AB$6</definedName>
    <definedName name="Z_05E79CE0_CF20_466B_ADB2_286ADC4504D6_.wvu.FilterData" localSheetId="0" hidden="1">現在!$A$1:$GG$6</definedName>
    <definedName name="Z_05F81D0B_A900_4BC1_91C2_53BAC1FDD530_.wvu.FilterData" localSheetId="0" hidden="1">現在!$A$5:$GG$7</definedName>
    <definedName name="Z_0606861C_2F94_4292_92A6_C318EFF67B5C_.wvu.FilterData" localSheetId="0" hidden="1">現在!$A$5:$GG$6</definedName>
    <definedName name="Z_061CEB24_36D6_4F5B_B08F_55F93F4353C4_.wvu.FilterData" localSheetId="0" hidden="1">現在!$A$5:$AB$6</definedName>
    <definedName name="Z_0689E047_3276_43DF_9D3B_69A0DC8BB8DA_.wvu.FilterData" localSheetId="0" hidden="1">現在!$A$6:$GG$7</definedName>
    <definedName name="Z_06911747_9698_482D_B0B7_123E4D2445D1_.wvu.FilterData" localSheetId="0" hidden="1">現在!$A$5:$GG$6</definedName>
    <definedName name="Z_069204F1_4036_4757_8895_6C1CC3D3102D_.wvu.FilterData" localSheetId="0" hidden="1">現在!$A$5:$GG$7</definedName>
    <definedName name="Z_06956D63_BE6A_4580_858F_AC9D6C8F5970_.wvu.FilterData" localSheetId="0" hidden="1">現在!$A$5:$GG$6</definedName>
    <definedName name="Z_06CDE68F_C80E_4A87_886B_7BBC9E492589_.wvu.FilterData" localSheetId="0" hidden="1">現在!$A$5:$GG$6</definedName>
    <definedName name="Z_06E246CB_A454_4292_B8A4_616FAE40FED5_.wvu.FilterData" localSheetId="0" hidden="1">現在!$A$5:$AB$6</definedName>
    <definedName name="Z_06E7697E_536F_47CB_9A7B_FD6F5CCEF7C4_.wvu.FilterData" localSheetId="0" hidden="1">現在!$A$5:$AB$6</definedName>
    <definedName name="Z_06E90D3F_183A_4F3A_B309_DD217E3CD8B6_.wvu.FilterData" localSheetId="0" hidden="1">現在!$A$5:$AB$6</definedName>
    <definedName name="Z_06F498E2_5D5B_469C_9368_AB660AEB1B10_.wvu.FilterData" localSheetId="0" hidden="1">現在!$A$5:$GG$6</definedName>
    <definedName name="Z_07036291_9CA6_4A1C_9B8E_1D8B2AABF306_.wvu.FilterData" localSheetId="0" hidden="1">現在!$A$5:$GG$6</definedName>
    <definedName name="Z_071E1CE3_45D9_471B_91E6_C8B9A82DDDB9_.wvu.FilterData" localSheetId="0" hidden="1">現在!$A$5:$GG$6</definedName>
    <definedName name="Z_072299EB_D695_44CE_8310_1B5FF328E944_.wvu.FilterData" localSheetId="0" hidden="1">現在!$A$5:$GG$7</definedName>
    <definedName name="Z_074DCAB2_D156_42DD_8B27_312780D688BA_.wvu.FilterData" localSheetId="0" hidden="1">現在!$A$5:$GG$6</definedName>
    <definedName name="Z_07652CCE_E6F5_4858_9AA4_D5E2D717AB98_.wvu.FilterData" localSheetId="0" hidden="1">現在!$A$5:$GG$7</definedName>
    <definedName name="Z_07BDAB05_A10C_4C6E_8EBA_AA170CCBC52D_.wvu.FilterData" localSheetId="0" hidden="1">現在!$A$5:$GG$7</definedName>
    <definedName name="Z_07CA358E_2700_4AAD_9236_CF674699B08B_.wvu.FilterData" localSheetId="0" hidden="1">現在!$A$5:$AB$6</definedName>
    <definedName name="Z_07DAC1EB_CE94_4538_8255_8332175787CD_.wvu.FilterData" localSheetId="1" hidden="1">休日設定!$A$1:$B$77</definedName>
    <definedName name="Z_07DAC1EB_CE94_4538_8255_8332175787CD_.wvu.FilterData" localSheetId="0" hidden="1">現在!$W$5:$W$7</definedName>
    <definedName name="Z_08375E93_7BC0_4EF0_88C6_470EEB3AF9D6_.wvu.FilterData" localSheetId="0" hidden="1">現在!$A$5:$GG$6</definedName>
    <definedName name="Z_085F128C_879D_4604_A6CE_22CECB3555AC_.wvu.FilterData" localSheetId="0" hidden="1">現在!$A$5:$GG$7</definedName>
    <definedName name="Z_092085C0_8CAB_4F21_A81E_AC87DC99D256_.wvu.FilterData" localSheetId="0" hidden="1">現在!$A$5:$GG$6</definedName>
    <definedName name="Z_09589110_7BC7_44C5_9061_DFACA8ADCE58_.wvu.FilterData" localSheetId="0" hidden="1">現在!$G$5:$GG$7</definedName>
    <definedName name="Z_09AFE90C_8749_4479_8B97_6BE6DFAA6EF1_.wvu.FilterData" localSheetId="0" hidden="1">現在!$A$5:$GG$7</definedName>
    <definedName name="Z_09BE0D8A_BB97_40DB_A274_AA96CE84E34A_.wvu.FilterData" localSheetId="0" hidden="1">現在!$A$5:$GG$7</definedName>
    <definedName name="Z_09C52057_A9CC_42B8_9D6B_933F25847750_.wvu.FilterData" localSheetId="0" hidden="1">現在!$A$6:$GG$7</definedName>
    <definedName name="Z_09C9A710_F9DD_41B8_A31E_E1CB46AB501B_.wvu.FilterData" localSheetId="1" hidden="1">休日設定!$A$1:$B$77</definedName>
    <definedName name="Z_09C9A710_F9DD_41B8_A31E_E1CB46AB501B_.wvu.FilterData" localSheetId="0" hidden="1">現在!$W$5:$W$7</definedName>
    <definedName name="Z_09E5520C_6541_40FB_8948_C612F016A28B_.wvu.FilterData" localSheetId="0" hidden="1">現在!$A$4:$GG$7</definedName>
    <definedName name="Z_09FD97D3_FD55_411E_AE30_ADD437B00D15_.wvu.FilterData" localSheetId="0" hidden="1">現在!$A$5:$GG$7</definedName>
    <definedName name="Z_0A03FB06_F498_45C5_B388_2726286F47E1_.wvu.FilterData" localSheetId="0" hidden="1">現在!$G$5:$GG$7</definedName>
    <definedName name="Z_0A102EBD_D93E_4CBD_933D_990EF9D87B14_.wvu.FilterData" localSheetId="0" hidden="1">現在!$A$5:$GG$6</definedName>
    <definedName name="Z_0A796EDF_3D6A_44FD_A9DC_A73072DE0318_.wvu.FilterData" localSheetId="0" hidden="1">現在!$A$5:$GG$7</definedName>
    <definedName name="Z_0A9D87F3_EA8C_4D2F_B6E6_B178BCB1907B_.wvu.FilterData" localSheetId="0" hidden="1">現在!$A$5:$AB$6</definedName>
    <definedName name="Z_0B0D6E7C_45B9_4B3B_A4A8_A77BCB068579_.wvu.FilterData" localSheetId="0" hidden="1">現在!$A$5:$AB$7</definedName>
    <definedName name="Z_0B165F9C_6202_495E_8FD2_F626346FFE55_.wvu.FilterData" localSheetId="0" hidden="1">現在!$A$5:$GG$6</definedName>
    <definedName name="Z_0B467039_EDE2_4E22_B6B1_4DEDCD9D0E4A_.wvu.FilterData" localSheetId="0" hidden="1">現在!$A$4:$GG$6</definedName>
    <definedName name="Z_0B5B7F84_CC53_416B_83DD_02AEA201AC2F_.wvu.FilterData" localSheetId="0" hidden="1">現在!$A$6:$GG$7</definedName>
    <definedName name="Z_0B5D4BC0_BC3F_41C3_B17F_89D96AF9BDA5_.wvu.FilterData" localSheetId="0" hidden="1">現在!$A$5:$GG$7</definedName>
    <definedName name="Z_0B8E1E89_3FB0_468E_816E_B4DECD397CDA_.wvu.FilterData" localSheetId="0" hidden="1">現在!$A$5:$AB$6</definedName>
    <definedName name="Z_0BA5500C_67F3_49F0_868E_908ACD7C39EF_.wvu.FilterData" localSheetId="0" hidden="1">現在!$A$5:$GG$6</definedName>
    <definedName name="Z_0BD8E15C_E73C_4FAC_9A46_79AD8D42518F_.wvu.FilterData" localSheetId="0" hidden="1">現在!$A$5:$GG$6</definedName>
    <definedName name="Z_0BDF4807_34CB_44B6_902C_EB3B93C31B4F_.wvu.FilterData" localSheetId="0" hidden="1">現在!$A$5:$GG$6</definedName>
    <definedName name="Z_0C00F0FB_1ED0_48A8_8AC9_5FF56C1B79BE_.wvu.FilterData" localSheetId="0" hidden="1">現在!$A$5:$GG$6</definedName>
    <definedName name="Z_0C04190B_8B3A_4EEF_9061_21567CC1DF8D_.wvu.FilterData" localSheetId="0" hidden="1">現在!$A$5:$GG$6</definedName>
    <definedName name="Z_0C2773CF_5FD8_4F51_869C_A411567893E8_.wvu.FilterData" localSheetId="0" hidden="1">現在!$A$5:$GG$7</definedName>
    <definedName name="Z_0C49ED2E_C378_4D01_B7A1_C748E5F6CAD9_.wvu.FilterData" localSheetId="0" hidden="1">現在!$A$5:$AB$6</definedName>
    <definedName name="Z_0C53AE9F_207B_4B06_BD8F_4D20758C8111_.wvu.FilterData" localSheetId="0" hidden="1">現在!$A$5:$GG$7</definedName>
    <definedName name="Z_0C72BABD_E748_4894_A415_2168E7A2134A_.wvu.FilterData" localSheetId="1" hidden="1">休日設定!$A$1:$B$77</definedName>
    <definedName name="Z_0C72BABD_E748_4894_A415_2168E7A2134A_.wvu.FilterData" localSheetId="0" hidden="1">現在!$G$5:$GG$7</definedName>
    <definedName name="Z_0C92ECBD_691F_4052_821E_A6B77937B27C_.wvu.FilterData" localSheetId="0" hidden="1">現在!$A$5:$GG$6</definedName>
    <definedName name="Z_0C982A58_8100_44B0_A2DF_C7DE59E5FA93_.wvu.FilterData" localSheetId="0" hidden="1">現在!$A$5:$GG$6</definedName>
    <definedName name="Z_0C9C47D2_DC49_407F_B9CD_6AF10E3ECFEF_.wvu.FilterData" localSheetId="0" hidden="1">現在!$A$5:$GG$7</definedName>
    <definedName name="Z_0CB18A0F_403D_4B10_A681_3A88A3D64361_.wvu.FilterData" localSheetId="0" hidden="1">現在!$A$5:$GG$6</definedName>
    <definedName name="Z_0CB3F439_F5BB_432D_8148_57F2DFE0CB98_.wvu.FilterData" localSheetId="0" hidden="1">現在!$A$5:$GG$7</definedName>
    <definedName name="Z_0CE1D8E7_50B1_4006_A834_391C2EAB5FCF_.wvu.FilterData" localSheetId="0" hidden="1">現在!$A$5:$GG$6</definedName>
    <definedName name="Z_0CF0680E_0C95_4765_8CB9_CED4E067EA9D_.wvu.FilterData" localSheetId="0" hidden="1">現在!$A$6:$GG$7</definedName>
    <definedName name="Z_0D470676_71FC_4175_B637_FDCCB1B6B13C_.wvu.FilterData" localSheetId="0" hidden="1">現在!$A$5:$AB$6</definedName>
    <definedName name="Z_0D510415_B070_4EF2_AF43_5C91F26BAD32_.wvu.FilterData" localSheetId="0" hidden="1">現在!$A$5:$GG$6</definedName>
    <definedName name="Z_0D6CEE61_0FA8_4924_B1C2_7CE21EF388E0_.wvu.FilterData" localSheetId="1" hidden="1">休日設定!$A$1:$B$77</definedName>
    <definedName name="Z_0D6CEE61_0FA8_4924_B1C2_7CE21EF388E0_.wvu.FilterData" localSheetId="0" hidden="1">現在!$G$5:$GG$7</definedName>
    <definedName name="Z_0D8F4842_F7B7_4ADB_B687_9DE3BFA48738_.wvu.FilterData" localSheetId="0" hidden="1">現在!$A$5:$GG$7</definedName>
    <definedName name="Z_0DA3AE63_BE24_46C9_B54B_5373AB11F215_.wvu.FilterData" localSheetId="0" hidden="1">現在!#REF!</definedName>
    <definedName name="Z_0DB7550E_D2DB_478B_9741_4E4B0B63329C_.wvu.FilterData" localSheetId="0" hidden="1">現在!$A$5:$GG$7</definedName>
    <definedName name="Z_0DDA46A1_42F1_47D3_98DA_D13C74C584FB_.wvu.FilterData" localSheetId="0" hidden="1">現在!$A$5:$GG$7</definedName>
    <definedName name="Z_0DDA47D0_3892_42B9_BF1F_3704716F5828_.wvu.FilterData" localSheetId="0" hidden="1">現在!$A$5:$GG$6</definedName>
    <definedName name="Z_0DFAEFB4_EDE8_45A3_AE1D_667A08A3EEC4_.wvu.FilterData" localSheetId="0" hidden="1">現在!$G$5:$GG$7</definedName>
    <definedName name="Z_0DFF6092_02C6_4ADF_8714_667078550B14_.wvu.FilterData" localSheetId="0" hidden="1">現在!$A$5:$AB$6</definedName>
    <definedName name="Z_0E08E051_3BBD_4400_BAEB_15DD87295861_.wvu.FilterData" localSheetId="0" hidden="1">現在!$A$5:$GG$6</definedName>
    <definedName name="Z_0E12B7C6_0B21_4354_89DE_64AB68EEE616_.wvu.FilterData" localSheetId="0" hidden="1">現在!$A$5:$GG$6</definedName>
    <definedName name="Z_0E53D3E3_DBF8_46FD_B9C0_9FCF58AB930A_.wvu.FilterData" localSheetId="0" hidden="1">現在!#REF!</definedName>
    <definedName name="Z_0E5C793C_6515_4FDA_96D4_89D6FC08B80D_.wvu.FilterData" localSheetId="0" hidden="1">現在!$A$4:$GG$7</definedName>
    <definedName name="Z_0E6F7633_465D_4588_B144_8E1EE7D8D19D_.wvu.FilterData" localSheetId="0" hidden="1">現在!$A$6:$GG$7</definedName>
    <definedName name="Z_0EB15ACE_CD18_4076_923A_BB8DB37595DD_.wvu.FilterData" localSheetId="0" hidden="1">現在!$A$5:$GG$6</definedName>
    <definedName name="Z_0ECD8A36_E5E4_4B61_8739_692F80AB4F7A_.wvu.FilterData" localSheetId="0" hidden="1">現在!$A$6:$GG$7</definedName>
    <definedName name="Z_0F162D73_28D5_40A2_BA97_491640402691_.wvu.FilterData" localSheetId="0" hidden="1">現在!$A$5:$AB$6</definedName>
    <definedName name="Z_0F2830C6_088A_4C48_A311_D04FC57DFBCB_.wvu.FilterData" localSheetId="0" hidden="1">現在!$A$4:$GG$7</definedName>
    <definedName name="Z_0F340492_EB7B_4A23_A0B4_83C08E22A46B_.wvu.FilterData" localSheetId="0" hidden="1">現在!$A$5:$GG$6</definedName>
    <definedName name="Z_0F47BA13_5697_4492_A933_BE1429CD506E_.wvu.FilterData" localSheetId="0" hidden="1">現在!$A$5:$GG$6</definedName>
    <definedName name="Z_0F49643A_AF90_49DC_8FB3_C0C5834D99E4_.wvu.FilterData" localSheetId="0" hidden="1">現在!$A$5:$AB$6</definedName>
    <definedName name="Z_0F4ECDFB_FF14_48A9_BD6E_7CAC1B6D3DF2_.wvu.FilterData" localSheetId="0" hidden="1">現在!$A$5:$GG$6</definedName>
    <definedName name="Z_0F538BAB_136F_43F4_8390_49A6F9F7214A_.wvu.FilterData" localSheetId="0" hidden="1">現在!$A$5:$GG$7</definedName>
    <definedName name="Z_0F6ED57F_757D_4236_A914_F89293B3781F_.wvu.FilterData" localSheetId="0" hidden="1">現在!$A$5:$GG$6</definedName>
    <definedName name="Z_0FA47D6D_AF20_43AA_899F_DC003AFC9F7C_.wvu.FilterData" localSheetId="0" hidden="1">現在!$A$4:$GG$7</definedName>
    <definedName name="Z_0FB1F6A1_9383_4A3A_9590_FE79E2467691_.wvu.FilterData" localSheetId="0" hidden="1">現在!$A$5:$GG$6</definedName>
    <definedName name="Z_0FB73A86_1655_439B_B5B6_138C6730BE83_.wvu.FilterData" localSheetId="0" hidden="1">現在!$A$5:$GH$6</definedName>
    <definedName name="Z_0FF81558_7DC1_40E2_AB8F_42839D899722_.wvu.FilterData" localSheetId="0" hidden="1">現在!$A$5:$GG$6</definedName>
    <definedName name="Z_0FF8C61E_6F5A_4577_B311_DE9AA78FAF01_.wvu.FilterData" localSheetId="0" hidden="1">現在!$A$5:$GG$7</definedName>
    <definedName name="Z_0FFF5700_C0AC_4A14_ACB3_2588043E87F8_.wvu.FilterData" localSheetId="0" hidden="1">現在!$F$5:$AB$6</definedName>
    <definedName name="Z_1002BE62_FF72_4871_8B27_C9F3D8A3F51B_.wvu.FilterData" localSheetId="0" hidden="1">現在!$A$5:$GG$6</definedName>
    <definedName name="Z_10698F2F_2122_4FE3_B4F6_58360BF18353_.wvu.FilterData" localSheetId="0" hidden="1">現在!$A$5:$GG$6</definedName>
    <definedName name="Z_107A5AAD_1A51_4068_AFE8_9B14279D7C90_.wvu.FilterData" localSheetId="0" hidden="1">現在!$A$5:$GG$6</definedName>
    <definedName name="Z_109DB1E8_112B_4905_999C_E6A7AEFD3CE6_.wvu.FilterData" localSheetId="0" hidden="1">現在!$A$4:$GG$7</definedName>
    <definedName name="Z_10BC774F_D35D_4081_9757_7F02A5442203_.wvu.FilterData" localSheetId="0" hidden="1">現在!$W$5:$W$7</definedName>
    <definedName name="Z_10BE1BBD_6779_43BB_9DE0_9BEC4E0FBA71_.wvu.FilterData" localSheetId="0" hidden="1">現在!$A$5:$GG$6</definedName>
    <definedName name="Z_10D514A1_E6A1_4A07_B20B_09E4E6F0E3AD_.wvu.FilterData" localSheetId="0" hidden="1">現在!$A$5:$GG$7</definedName>
    <definedName name="Z_10D80013_FC20_4EF9_8D13_0FAA4BBECE9F_.wvu.FilterData" localSheetId="0" hidden="1">現在!$A$5:$AB$6</definedName>
    <definedName name="Z_110C2F28_4FDB_44D6_8DD6_B4496D069540_.wvu.FilterData" localSheetId="0" hidden="1">現在!$A$5:$GG$7</definedName>
    <definedName name="Z_112ADC84_C66C_4B8D_9D05_7FFFC70FCBC2_.wvu.FilterData" localSheetId="0" hidden="1">現在!$A$5:$GG$7</definedName>
    <definedName name="Z_113D802C_8CE7_4D0D_9149_41FFA6F63025_.wvu.FilterData" localSheetId="0" hidden="1">現在!$A$5:$GG$6</definedName>
    <definedName name="Z_117CDDF6_064E_4041_BA04_6C70CA6A3C87_.wvu.FilterData" localSheetId="0" hidden="1">現在!$A$5:$AB$6</definedName>
    <definedName name="Z_11984DBF_1960_4DE9_BB61_50C83DB24EE5_.wvu.FilterData" localSheetId="0" hidden="1">現在!$A$5:$GG$7</definedName>
    <definedName name="Z_11B514B6_8591_448A_A926_323A872ACE1D_.wvu.FilterData" localSheetId="0" hidden="1">現在!$A$6:$GG$7</definedName>
    <definedName name="Z_11CB663E_E57B_48EB_A76D_0CD15441C990_.wvu.FilterData" localSheetId="0" hidden="1">現在!$A$6:$GG$7</definedName>
    <definedName name="Z_11D1BCD3_4536_42E5_8FB7_3398F8B892CA_.wvu.FilterData" localSheetId="0" hidden="1">現在!$A$5:$GG$6</definedName>
    <definedName name="Z_11E3D86F_1D76_45CA_BCDD_83E704316A89_.wvu.FilterData" localSheetId="0" hidden="1">現在!$A$5:$GG$7</definedName>
    <definedName name="Z_11EAFC05_4155_47CF_9322_CDF4BD877937_.wvu.FilterData" localSheetId="0" hidden="1">現在!$A$5:$GG$6</definedName>
    <definedName name="Z_11EB9251_DDB7_4A90_81CF_7E0BF6B7CCEC_.wvu.FilterData" localSheetId="0" hidden="1">現在!$A$5:$GG$7</definedName>
    <definedName name="Z_12013846_D0D9_41AB_A20C_EFD0EF074596_.wvu.FilterData" localSheetId="0" hidden="1">現在!$A$5:$GG$6</definedName>
    <definedName name="Z_122B367B_9FE1_41E5_BFDB_6D3EDB9FAAA3_.wvu.FilterData" localSheetId="0" hidden="1">現在!$A$5:$GG$7</definedName>
    <definedName name="Z_122E7057_9631_4663_8F65_017A1C9F68B3_.wvu.FilterData" localSheetId="0" hidden="1">現在!$G$5:$GG$7</definedName>
    <definedName name="Z_12326158_DCBD_4A74_9CD6_3104B09EEEAC_.wvu.FilterData" localSheetId="0" hidden="1">現在!$A$5:$GG$6</definedName>
    <definedName name="Z_12355727_DA5E_4076_8DD9_EDB84DC57081_.wvu.FilterData" localSheetId="0" hidden="1">現在!$A$5:$GG$7</definedName>
    <definedName name="Z_124AC8FE_80C5_4CD3_AD00_E53558B1A674_.wvu.FilterData" localSheetId="0" hidden="1">現在!$A$5:$GG$7</definedName>
    <definedName name="Z_126CFDEE_4D43_4C02_83F3_627FF2EE75A9_.wvu.FilterData" localSheetId="0" hidden="1">現在!$A$5:$GG$7</definedName>
    <definedName name="Z_127F1C01_9BA2_4396_8FA2_671DD0CD8D62_.wvu.FilterData" localSheetId="0" hidden="1">現在!$A$5:$GG$7</definedName>
    <definedName name="Z_127F1ED5_69AE_4805_82CD_95ADDBFA44EA_.wvu.FilterData" localSheetId="0" hidden="1">現在!$A$5:$GG$7</definedName>
    <definedName name="Z_13187CF0_2079_4CB0_9B13_EEEB494AE0C9_.wvu.FilterData" localSheetId="0" hidden="1">現在!$A$5:$AB$6</definedName>
    <definedName name="Z_1365001F_6FE2_4B81_B09D_FFC05839F2C5_.wvu.FilterData" localSheetId="0" hidden="1">現在!$A$5:$GG$7</definedName>
    <definedName name="Z_137375DA_948A_4E19_ABC0_FF162C09C942_.wvu.FilterData" localSheetId="0" hidden="1">現在!$A$5:$GG$6</definedName>
    <definedName name="Z_13770626_79D3_4BDC_9012_DADF22F01454_.wvu.FilterData" localSheetId="0" hidden="1">現在!$A$5:$AB$5</definedName>
    <definedName name="Z_138A6B84_EA07_4E79_8718_83A03E4B4AC0_.wvu.FilterData" localSheetId="0" hidden="1">現在!$A$5:$GG$6</definedName>
    <definedName name="Z_13A68435_FDA3_47FE_9784_6802CA5CE585_.wvu.FilterData" localSheetId="0" hidden="1">現在!$A$5:$GG$6</definedName>
    <definedName name="Z_13CE1FC6_834D_41D1_BD5A_86E638F16512_.wvu.FilterData" localSheetId="0" hidden="1">現在!$A$5:$AB$6</definedName>
    <definedName name="Z_13D721C5_E31B_49E1_9E37_6BD3B0E9F847_.wvu.FilterData" localSheetId="0" hidden="1">現在!$A$5:$AB$7</definedName>
    <definedName name="Z_141EC0A5_8F12_4BE4_B9F9_039ABC955ED0_.wvu.FilterData" localSheetId="0" hidden="1">現在!$A$5:$GG$7</definedName>
    <definedName name="Z_14563DFE_9CAD_4042_9CD6_8EBC001662CD_.wvu.FilterData" localSheetId="0" hidden="1">現在!$A$5:$GG$6</definedName>
    <definedName name="Z_14668876_C795_4789_92B2_722351552456_.wvu.FilterData" localSheetId="0" hidden="1">現在!$A$5:$GG$6</definedName>
    <definedName name="Z_14678CCF_C538_4FC5_99D4_8BC493B439C0_.wvu.FilterData" localSheetId="0" hidden="1">現在!$A$5:$GG$6</definedName>
    <definedName name="Z_14A5D1AB_B394_4AA2_9059_E7FC7A70FE25_.wvu.FilterData" localSheetId="0" hidden="1">現在!$A$6:$GG$7</definedName>
    <definedName name="Z_14A65A3F_DE60_4987_8979_857B8329D237_.wvu.FilterData" localSheetId="0" hidden="1">現在!$A$5:$GG$6</definedName>
    <definedName name="Z_14CA4BAC_0807_4583_8A8D_645D4D724AC9_.wvu.FilterData" localSheetId="0" hidden="1">現在!$A$5:$GG$6</definedName>
    <definedName name="Z_14CAF4B7_D8C0_438E_B19A_520EF09DAD6F_.wvu.FilterData" localSheetId="0" hidden="1">現在!$A$4:$GG$7</definedName>
    <definedName name="Z_14EF6961_3044_4876_B4B5_A32F0F81F21D_.wvu.FilterData" localSheetId="0" hidden="1">現在!$A$5:$GG$6</definedName>
    <definedName name="Z_151AF857_88B2_4F16_BBC0_3A47C5604D0D_.wvu.FilterData" localSheetId="0" hidden="1">現在!$A$5:$GG$7</definedName>
    <definedName name="Z_152120ED_9971_419E_B96D_3102623ACAD6_.wvu.FilterData" localSheetId="0" hidden="1">現在!$A$5:$GG$7</definedName>
    <definedName name="Z_156B1D07_0E52_4698_A7D7_C00289F5D6B2_.wvu.FilterData" localSheetId="0" hidden="1">現在!$A$5:$GG$7</definedName>
    <definedName name="Z_156D8131_4EB6_408E_9322_E04BE3A4857C_.wvu.FilterData" localSheetId="0" hidden="1">現在!$A$4:$GG$7</definedName>
    <definedName name="Z_16190EC6_6C1C_4A0F_B2D0_848A0619FD09_.wvu.FilterData" localSheetId="0" hidden="1">現在!$A$5:$GG$7</definedName>
    <definedName name="Z_16C59971_E7DB_4E5D_AA67_3F9AC9BCE4DF_.wvu.FilterData" localSheetId="0" hidden="1">現在!$A$5:$GG$6</definedName>
    <definedName name="Z_16EB196E_F9D8_4DD0_A0FE_FFE1416B01C2_.wvu.FilterData" localSheetId="0" hidden="1">現在!$A$5:$AB$6</definedName>
    <definedName name="Z_171C1032_462C_4967_A283_09CB8CF9893C_.wvu.FilterData" localSheetId="0" hidden="1">現在!$A$4:$GG$7</definedName>
    <definedName name="Z_172B4D9F_EF58_41FE_AB0A_FA91DDE0243D_.wvu.FilterData" localSheetId="0" hidden="1">現在!$A$5:$GG$7</definedName>
    <definedName name="Z_17348648_93C2_4CF7_9CD2_0B5139076D77_.wvu.FilterData" localSheetId="0" hidden="1">現在!$A$5:$GG$6</definedName>
    <definedName name="Z_1749CE67_1EFB_484A_9882_CF1A3788FDAD_.wvu.FilterData" localSheetId="0" hidden="1">現在!$A$5:$AB$6</definedName>
    <definedName name="Z_174D104A_A580_4F7A_BE8F_F004F6A09920_.wvu.FilterData" localSheetId="0" hidden="1">現在!$A$5:$AB$6</definedName>
    <definedName name="Z_1759EF7F_78CF_4C83_B5F4_AE5E7CAF1069_.wvu.FilterData" localSheetId="0" hidden="1">現在!$G$5:$GG$7</definedName>
    <definedName name="Z_17DCC497_158C_4AE1_B958_30AA931F116D_.wvu.FilterData" localSheetId="0" hidden="1">現在!$A$5:$AB$6</definedName>
    <definedName name="Z_17FCCF5F_F008_4CB8_B98F_1A2612B4B3BF_.wvu.FilterData" localSheetId="0" hidden="1">現在!$A$5:$GG$7</definedName>
    <definedName name="Z_181D323E_5D5C_4DD0_93D8_3BDA8D31BA77_.wvu.FilterData" localSheetId="0" hidden="1">現在!$H$6:$AB$6</definedName>
    <definedName name="Z_182BA68C_B437_4A6F_B284_F5FD0D9094FB_.wvu.FilterData" localSheetId="0" hidden="1">現在!$A$4:$GG$7</definedName>
    <definedName name="Z_186C3745_9D7D_4AD6_B4AC_1FF5174D360B_.wvu.FilterData" localSheetId="0" hidden="1">現在!$A$5:$GG$7</definedName>
    <definedName name="Z_18A0AB7F_6979_4A3F_B2EA_E504DDE87F8C_.wvu.FilterData" localSheetId="0" hidden="1">現在!$A$4:$GG$7</definedName>
    <definedName name="Z_18ADC724_0865_4932_B4D7_F61327C52205_.wvu.FilterData" localSheetId="0" hidden="1">現在!$A$5:$GG$6</definedName>
    <definedName name="Z_18B5B4A2_1692_44DB_802C_D5B13FC3FB55_.wvu.FilterData" localSheetId="1" hidden="1">休日設定!$A$1:$B$77</definedName>
    <definedName name="Z_18B5B4A2_1692_44DB_802C_D5B13FC3FB55_.wvu.FilterData" localSheetId="0" hidden="1">現在!$A$5:$AB$6</definedName>
    <definedName name="Z_190A94F1_0207_42AD_85DA_E72CCC61CCFD_.wvu.FilterData" localSheetId="0" hidden="1">現在!$A$5:$GG$6</definedName>
    <definedName name="Z_1960F842_990A_4E70_845D_FE5838691AB5_.wvu.FilterData" localSheetId="0" hidden="1">現在!$W$5:$W$90</definedName>
    <definedName name="Z_19E1A28B_8E9E_4E97_A3D1_604F5C36DEC5_.wvu.FilterData" localSheetId="0" hidden="1">現在!$A$5:$GG$7</definedName>
    <definedName name="Z_19E73D6A_F333_4E79_989F_918ADC1B7243_.wvu.FilterData" localSheetId="0" hidden="1">現在!$G$5:$GG$7</definedName>
    <definedName name="Z_1A0C62AA_2AA5_45F4_ADA5_E727CDEB23DF_.wvu.FilterData" localSheetId="0" hidden="1">現在!$W$6:$Z$6</definedName>
    <definedName name="Z_1A1EDFD6_CD5C_452D_8BE2_6F7534C3ED1F_.wvu.FilterData" localSheetId="0" hidden="1">現在!$A$5:$GG$6</definedName>
    <definedName name="Z_1A28B955_B9D4_47C9_A49E_3AEDD4356F32_.wvu.FilterData" localSheetId="0" hidden="1">現在!$W$5:$W$7</definedName>
    <definedName name="Z_1A2CA1F4_407A_47E9_A05E_F1A005D43904_.wvu.FilterData" localSheetId="0" hidden="1">現在!$A$5:$GG$6</definedName>
    <definedName name="Z_1A8506A4_DDCC_4FBC_8315_01085B391D2F_.wvu.FilterData" localSheetId="0" hidden="1">現在!$A$5:$GG$7</definedName>
    <definedName name="Z_1A9F9058_6362_406C_8E5A_A37F5C587470_.wvu.FilterData" localSheetId="0" hidden="1">現在!$A$5:$GG$6</definedName>
    <definedName name="Z_1AE42B36_391D_4403_A344_74ECBE82DA56_.wvu.FilterData" localSheetId="0" hidden="1">現在!$A$5:$GG$7</definedName>
    <definedName name="Z_1B19E4BE_C1D3_4E21_81F6_21DB32C221DA_.wvu.FilterData" localSheetId="0" hidden="1">現在!$A$5:$GG$7</definedName>
    <definedName name="Z_1B2340F6_90AF_430C_9FD7_2C09E3FD2CA8_.wvu.FilterData" localSheetId="0" hidden="1">現在!$A$5:$GG$7</definedName>
    <definedName name="Z_1B345134_3B45_4C00_8744_CAA1C4142917_.wvu.FilterData" localSheetId="0" hidden="1">現在!$A$4:$GG$7</definedName>
    <definedName name="Z_1B34FC84_CA67_4B56_9D51_7F68456D6AA3_.wvu.FilterData" localSheetId="0" hidden="1">現在!$A$5:$GG$6</definedName>
    <definedName name="Z_1B521BC5_11FD_45FB_9764_BC7DBB1976F5_.wvu.FilterData" localSheetId="0" hidden="1">現在!$A$5:$GG$7</definedName>
    <definedName name="Z_1B8AE9EC_DFC0_4587_BE87_F9608BA39BF7_.wvu.FilterData" localSheetId="0" hidden="1">現在!$A$5:$GG$6</definedName>
    <definedName name="Z_1BA64666_CD7E_4269_ABC4_9D1C8C81B59B_.wvu.FilterData" localSheetId="0" hidden="1">現在!$A$6:$GG$7</definedName>
    <definedName name="Z_1BBB5379_DC78_44BF_9E9A_26B1943D7BA9_.wvu.FilterData" localSheetId="0" hidden="1">現在!$A$5:$GG$6</definedName>
    <definedName name="Z_1BEDEF43_B863_424A_A9EF_8891AFF59012_.wvu.FilterData" localSheetId="0" hidden="1">現在!$A$6:$GG$7</definedName>
    <definedName name="Z_1C00A458_A124_444E_8377_379121665ACD_.wvu.FilterData" localSheetId="0" hidden="1">現在!$A$5:$GG$7</definedName>
    <definedName name="Z_1C0818EA_10EC_4C2D_BE1E_01009D1A3B75_.wvu.FilterData" localSheetId="0" hidden="1">現在!$A$5:$GG$6</definedName>
    <definedName name="Z_1C370B1E_339D_4A60_939C_D479E8E3524B_.wvu.FilterData" localSheetId="0" hidden="1">現在!$A$5:$GG$7</definedName>
    <definedName name="Z_1C6B5E94_2E84_4278_A680_E55FEED4336A_.wvu.FilterData" localSheetId="0" hidden="1">現在!$A$5:$GG$6</definedName>
    <definedName name="Z_1C6CF73C_A8DC_4ADF_A5E3_D1A4937DABBB_.wvu.FilterData" localSheetId="0" hidden="1">現在!$A$4:$GG$7</definedName>
    <definedName name="Z_1C8CB0E3_2F59_4883_9255_123F2E4D4C7D_.wvu.FilterData" localSheetId="0" hidden="1">現在!$A$5:$GG$7</definedName>
    <definedName name="Z_1CBD57F6_7C28_4E1C_AA61_9EDF59267981_.wvu.FilterData" localSheetId="0" hidden="1">現在!$A$6:$GG$7</definedName>
    <definedName name="Z_1CC92974_3873_4F02_9956_E5A0958697CE_.wvu.FilterData" localSheetId="0" hidden="1">現在!$A$5:$GG$7</definedName>
    <definedName name="Z_1CE0A66C_73C9_403F_8DB7_AC9EE6AA97B7_.wvu.FilterData" localSheetId="0" hidden="1">現在!$A$5:$GG$6</definedName>
    <definedName name="Z_1CEADA0D_BC5C_4340_8897_F3BF8180A303_.wvu.FilterData" localSheetId="0" hidden="1">現在!$A$5:$GG$7</definedName>
    <definedName name="Z_1CF8335B_C889_41EB_877E_128ED47EBE92_.wvu.FilterData" localSheetId="0" hidden="1">現在!$A$5:$GG$7</definedName>
    <definedName name="Z_1D062EC5_13EA_4330_A3A7_A09BE2189960_.wvu.FilterData" localSheetId="0" hidden="1">現在!#REF!</definedName>
    <definedName name="Z_1D2CF743_53CF_48AC_A920_7EC10CFFF5E2_.wvu.FilterData" localSheetId="0" hidden="1">現在!$A$5:$GG$7</definedName>
    <definedName name="Z_1D744B8E_3301_48B7_8556_229D84E8DF68_.wvu.FilterData" localSheetId="0" hidden="1">現在!$A$4:$GG$7</definedName>
    <definedName name="Z_1D9EDA90_8B59_4054_9CE0_EA2D292D7E38_.wvu.FilterData" localSheetId="0" hidden="1">現在!$A$5:$GG$6</definedName>
    <definedName name="Z_1DD65430_F2B0_4E9C_81A0_0CF63BDF568C_.wvu.FilterData" localSheetId="0" hidden="1">現在!$A$5:$GG$7</definedName>
    <definedName name="Z_1DDDA67B_EEEC_4343_8159_786299328A24_.wvu.FilterData" localSheetId="0" hidden="1">現在!$A$5:$GG$7</definedName>
    <definedName name="Z_1E2DD915_F24A_49DB_8069_28D1C61B66BB_.wvu.FilterData" localSheetId="0" hidden="1">現在!$A$5:$GG$7</definedName>
    <definedName name="Z_1E4EB6C0_0C4D_437B_835F_D8562B3E3396_.wvu.FilterData" localSheetId="0" hidden="1">現在!$A$5:$AB$6</definedName>
    <definedName name="Z_1E68B80E_1BD0_4D7B_BBA9_EB664D490429_.wvu.FilterData" localSheetId="0" hidden="1">現在!$A$6:$GG$7</definedName>
    <definedName name="Z_1E8BC8C3_3204_4AB0_AAAB_0F7A065BAA79_.wvu.FilterData" localSheetId="0" hidden="1">現在!$A$5:$GG$6</definedName>
    <definedName name="Z_1E9026D0_4B57_4468_8AC6_59907B246D86_.wvu.FilterData" localSheetId="0" hidden="1">現在!$A$4:$GG$6</definedName>
    <definedName name="Z_1E94FE9D_291E_4ECA_8629_2CA072A56F7E_.wvu.FilterData" localSheetId="0" hidden="1">現在!$A$5:$GG$6</definedName>
    <definedName name="Z_1E9EF8BE_A922_48EE_A970_E0EE7F8E85C6_.wvu.FilterData" localSheetId="0" hidden="1">現在!$A$5:$GG$7</definedName>
    <definedName name="Z_1E9FE159_7447_4F7F_AA92_3CC5A37641B4_.wvu.FilterData" localSheetId="0" hidden="1">現在!$A$5:$GH$6</definedName>
    <definedName name="Z_1EC5298D_91E1_4A92_80B0_CC78E1A47765_.wvu.FilterData" localSheetId="0" hidden="1">現在!$A$5:$GG$7</definedName>
    <definedName name="Z_1F337977_1EE9_49C9_BD58_924DB7B5C4C8_.wvu.FilterData" localSheetId="0" hidden="1">現在!$A$5:$GG$6</definedName>
    <definedName name="Z_1F38DE96_AA4A_4A75_945A_36BFC2E6F8AF_.wvu.FilterData" localSheetId="0" hidden="1">現在!$A$5:$GG$6</definedName>
    <definedName name="Z_1F3D9497_8ECE_404C_A06A_18C2EF936487_.wvu.FilterData" localSheetId="0" hidden="1">現在!$A$5:$GG$7</definedName>
    <definedName name="Z_1F59E433_FE44_4251_87E5_91EF4D892723_.wvu.FilterData" localSheetId="0" hidden="1">現在!$A$4:$GG$7</definedName>
    <definedName name="Z_1F5FF334_CFBC_44FE_BB0B_06B9A305CCBF_.wvu.FilterData" localSheetId="0" hidden="1">現在!$A$5:$GG$7</definedName>
    <definedName name="Z_1F63B97F_BD65_41BD_A91F_24C7D7F89996_.wvu.FilterData" localSheetId="0" hidden="1">現在!$A$4:$GG$7</definedName>
    <definedName name="Z_1F70792C_186B_4603_9C4D_90F15DE677D3_.wvu.FilterData" localSheetId="0" hidden="1">現在!$A$5:$GG$7</definedName>
    <definedName name="Z_1F79075A_5483_4278_A2EA_7F958074E711_.wvu.FilterData" localSheetId="0" hidden="1">現在!$A$4:$GG$7</definedName>
    <definedName name="Z_1F90B23C_9E8A_4383_8EB1_1FD6FAF6A1F0_.wvu.FilterData" localSheetId="0" hidden="1">現在!$A$5:$GG$6</definedName>
    <definedName name="Z_1F9BCC04_D59C_4BB3_942D_BE7F50E0B80D_.wvu.FilterData" localSheetId="0" hidden="1">現在!$A$5:$GG$6</definedName>
    <definedName name="Z_1FA00D25_BC42_457A_8B2D_AEFEE157D242_.wvu.FilterData" localSheetId="0" hidden="1">現在!$A$5:$GG$6</definedName>
    <definedName name="Z_1FCE5C34_6F33_4B3A_B6AA_6A0952ECBC90_.wvu.FilterData" localSheetId="0" hidden="1">現在!$A$5:$GG$7</definedName>
    <definedName name="Z_1FD26A9D_16AA_4C19_9A69_504040CD075E_.wvu.FilterData" localSheetId="0" hidden="1">現在!$A$5:$GG$6</definedName>
    <definedName name="Z_1FDFB36F_DEC7_4FC2_AFC2_DF9BB3F59E62_.wvu.FilterData" localSheetId="0" hidden="1">現在!$A$5:$AB$6</definedName>
    <definedName name="Z_1FF7D349_35FF_4092_AD51_4F3D6218092E_.wvu.FilterData" localSheetId="0" hidden="1">現在!$A$5:$GG$7</definedName>
    <definedName name="Z_20023D3F_BAD6_43F1_8C7B_CBD7DA6D3DCE_.wvu.FilterData" localSheetId="0" hidden="1">現在!$A$5:$GG$7</definedName>
    <definedName name="Z_20A5FDEE_7ED1_455C_ABA0_15DD1B12DBA8_.wvu.FilterData" localSheetId="0" hidden="1">現在!$A$5:$GG$6</definedName>
    <definedName name="Z_20B46CE9_1680_4BE0_A23D_71C13E5CBA32_.wvu.FilterData" localSheetId="0" hidden="1">現在!$A$5:$AB$5</definedName>
    <definedName name="Z_20BFF6AB_5843_4D27_8046_8E945EAEBC06_.wvu.FilterData" localSheetId="0" hidden="1">現在!$G$5:$GG$7</definedName>
    <definedName name="Z_20C3753E_B270_4AF1_9636_0DBE8C8812E3_.wvu.FilterData" localSheetId="0" hidden="1">現在!$A$6:$GG$7</definedName>
    <definedName name="Z_20E8C92F_4222_43DD_83D3_B85613E53BB3_.wvu.FilterData" localSheetId="0" hidden="1">現在!$A$5:$AB$6</definedName>
    <definedName name="Z_21406DF9_DCEE_4BFE_A497_3DB25B2E6177_.wvu.FilterData" localSheetId="0" hidden="1">現在!$A$6:$GG$7</definedName>
    <definedName name="Z_21508811_FB23_4AF3_8352_504123272055_.wvu.FilterData" localSheetId="0" hidden="1">現在!$A$5:$GG$7</definedName>
    <definedName name="Z_21840A85_A7E6_4802_B2A4_BB5CBD6B7190_.wvu.FilterData" localSheetId="0" hidden="1">現在!$A$5:$GG$6</definedName>
    <definedName name="Z_219C5150_A30A_4F8B_9E68_5784FC219604_.wvu.FilterData" localSheetId="0" hidden="1">現在!$A$5:$GG$6</definedName>
    <definedName name="Z_21A2D374_5100_4F9E_BEDC_BA361D52A20A_.wvu.FilterData" localSheetId="0" hidden="1">現在!$A$5:$GG$6</definedName>
    <definedName name="Z_21F26349_4851_46A5_B52F_6C02F0B76E6E_.wvu.FilterData" localSheetId="0" hidden="1">現在!$A$5:$GG$6</definedName>
    <definedName name="Z_2203C76E_4A08_460F_8BB5_A5B1F81BCF00_.wvu.FilterData" localSheetId="0" hidden="1">現在!$A$6:$GG$7</definedName>
    <definedName name="Z_220E922B_D6E4_440B_97B6_BB07B345BF54_.wvu.FilterData" localSheetId="0" hidden="1">現在!$A$5:$GG$6</definedName>
    <definedName name="Z_222F9A31_D4E2_48CB_8BE3_7BD25CF294E5_.wvu.FilterData" localSheetId="0" hidden="1">現在!$A$4:$GG$7</definedName>
    <definedName name="Z_226C4EB8_DF28_4631_86C8_05A28B4E02CD_.wvu.FilterData" localSheetId="0" hidden="1">現在!$A$5:$GG$6</definedName>
    <definedName name="Z_227C979D_48A0_4D0F_92CC_C31A9F8F049A_.wvu.FilterData" localSheetId="0" hidden="1">現在!$A$5:$GG$7</definedName>
    <definedName name="Z_228E4060_89E3_4E4D_BCFE_EC73B4246A5E_.wvu.FilterData" localSheetId="0" hidden="1">現在!$A$5:$AB$6</definedName>
    <definedName name="Z_22A2E161_1956_473B_AE02_6AF72DAF4A33_.wvu.FilterData" localSheetId="0" hidden="1">現在!$W$5:$W$7</definedName>
    <definedName name="Z_22EBD306_AA0A_426A_B2FB_0CF494435F31_.wvu.FilterData" localSheetId="0" hidden="1">現在!$A$5:$GG$6</definedName>
    <definedName name="Z_22F04049_93B7_494B_A1C8_C797C2CE8D0A_.wvu.FilterData" localSheetId="0" hidden="1">現在!$A$5:$GG$7</definedName>
    <definedName name="Z_230791A8_ED61_4101_B3F4_64FADA552727_.wvu.FilterData" localSheetId="0" hidden="1">現在!$A$4:$GG$7</definedName>
    <definedName name="Z_2310E455_9B81_4CBE_9D10_67662D58DCBF_.wvu.FilterData" localSheetId="0" hidden="1">現在!$A$5:$GG$6</definedName>
    <definedName name="Z_234CC68A_C986_4622_87AC_690C5B8DF23E_.wvu.FilterData" localSheetId="1" hidden="1">休日設定!$A$1:$B$77</definedName>
    <definedName name="Z_234CC68A_C986_4622_87AC_690C5B8DF23E_.wvu.FilterData" localSheetId="0" hidden="1">現在!$W$5:$W$7</definedName>
    <definedName name="Z_2360F208_15CE_422B_AD50_D07523705F3C_.wvu.FilterData" localSheetId="0" hidden="1">現在!$A$5:$AB$6</definedName>
    <definedName name="Z_236191F7_A159_4661_B81B_C8CF78B085F9_.wvu.FilterData" localSheetId="0" hidden="1">現在!$A$5:$GG$7</definedName>
    <definedName name="Z_239C6760_BE29_4136_9027_F378C05CEE9A_.wvu.FilterData" localSheetId="0" hidden="1">現在!$A$5:$GG$6</definedName>
    <definedName name="Z_23E64094_B1E1_48A5_A546_2E53780A2259_.wvu.FilterData" localSheetId="0" hidden="1">現在!$A$5:$AB$6</definedName>
    <definedName name="Z_24051198_9C75_404B_8465_8F7B4FD9D586_.wvu.FilterData" localSheetId="0" hidden="1">現在!$A$5:$GG$7</definedName>
    <definedName name="Z_244E7BB6_62E7_4951_B494_9D3358195B19_.wvu.FilterData" localSheetId="0" hidden="1">現在!$A$5:$GG$6</definedName>
    <definedName name="Z_2450BFBC_4A16_4C0D_969F_6BD4FDAAED93_.wvu.FilterData" localSheetId="0" hidden="1">現在!$A$5:$GG$6</definedName>
    <definedName name="Z_2459F3C5_ADF2_42BD_B655_F94AA8599843_.wvu.FilterData" localSheetId="0" hidden="1">現在!$A$5:$GG$6</definedName>
    <definedName name="Z_249C4BDB_892D_4370_847B_41E47E1B2F04_.wvu.FilterData" localSheetId="0" hidden="1">現在!$A$5:$GG$6</definedName>
    <definedName name="Z_24A94174_CB5F_4805_9EB1_3DEF3FBD3ADD_.wvu.FilterData" localSheetId="0" hidden="1">現在!$A$5:$GG$7</definedName>
    <definedName name="Z_24B0D400_2F73_47C7_9006_40E77AD25C2D_.wvu.FilterData" localSheetId="0" hidden="1">現在!$A$5:$GG$7</definedName>
    <definedName name="Z_24D04B6B_9ED2_4477_BA20_CAA9557C8780_.wvu.FilterData" localSheetId="0" hidden="1">現在!$A$5:$GG$7</definedName>
    <definedName name="Z_24D6DE19_86A9_42B9_A8DC_5EF9187FD533_.wvu.FilterData" localSheetId="0" hidden="1">現在!$A$4:$GG$7</definedName>
    <definedName name="Z_2507C930_CF9F_4A42_A66E_CBA75CA07642_.wvu.FilterData" localSheetId="0" hidden="1">現在!$A$5:$GG$7</definedName>
    <definedName name="Z_254805FC_04B3_4510_8C58_0327E12F6ACC_.wvu.FilterData" localSheetId="0" hidden="1">現在!$A$5:$AB$6</definedName>
    <definedName name="Z_2581E049_0409_4C7F_82FF_57D8B25CDE85_.wvu.FilterData" localSheetId="0" hidden="1">現在!$A$5:$GG$6</definedName>
    <definedName name="Z_25F04988_7306_489F_9A90_71B4FB94BFEE_.wvu.FilterData" localSheetId="0" hidden="1">現在!$A$5:$GG$6</definedName>
    <definedName name="Z_264FD118_90CF_419F_999F_584A559D1E55_.wvu.FilterData" localSheetId="0" hidden="1">現在!$A$5:$GG$6</definedName>
    <definedName name="Z_266E7C82_A134_40E0_A3EE_5B45D1288746_.wvu.FilterData" localSheetId="0" hidden="1">現在!$A$4:$GG$7</definedName>
    <definedName name="Z_26805ACB_E950_43A3_85A8_6721F3B17739_.wvu.FilterData" localSheetId="0" hidden="1">現在!$A$5:$GG$6</definedName>
    <definedName name="Z_268DCBCD_9757_48B4_AC2D_26D273EF0380_.wvu.FilterData" localSheetId="0" hidden="1">現在!$A$5:$GG$6</definedName>
    <definedName name="Z_26DE579D_9CB6_4E5F_9B7D_9A30E9736EF4_.wvu.FilterData" localSheetId="0" hidden="1">現在!$A$5:$GG$6</definedName>
    <definedName name="Z_26EA610A_8ACE_4CF6_97D2_C5CF7FE0C23E_.wvu.FilterData" localSheetId="0" hidden="1">現在!$A$5:$GG$7</definedName>
    <definedName name="Z_27161857_020C_4738_B983_278AC2CE432A_.wvu.FilterData" localSheetId="0" hidden="1">現在!$A$7:$GG$7</definedName>
    <definedName name="Z_2758C619_3D62_4C30_8884_8F27FFEEDCA3_.wvu.FilterData" localSheetId="0" hidden="1">現在!$A$5:$GG$6</definedName>
    <definedName name="Z_276393FA_5E75_4345_B478_731116FF210D_.wvu.FilterData" localSheetId="0" hidden="1">現在!$A$5:$GG$7</definedName>
    <definedName name="Z_2785A4A0_C393_4ED5_868D_AFDB27ACA4E2_.wvu.FilterData" localSheetId="0" hidden="1">現在!$A$4:$GG$7</definedName>
    <definedName name="Z_27C28A02_43F9_4F19_AD44_E3BF2185CFCB_.wvu.FilterData" localSheetId="0" hidden="1">現在!$A$5:$GG$7</definedName>
    <definedName name="Z_27D72ACF_F18D_4803_AEA9_6F275AE1C41A_.wvu.FilterData" localSheetId="0" hidden="1">現在!$A$5:$GG$6</definedName>
    <definedName name="Z_28055562_6905_45BA_B36F_3E01FAE0AE91_.wvu.FilterData" localSheetId="0" hidden="1">現在!$A$5:$AB$6</definedName>
    <definedName name="Z_281981F1_D55D_4E7D_B726_3A86063A60F5_.wvu.FilterData" localSheetId="0" hidden="1">現在!$A$5:$GG$7</definedName>
    <definedName name="Z_28282C6C_A244_402B_B702_A473150FD50C_.wvu.FilterData" localSheetId="0" hidden="1">現在!$A$4:$GG$7</definedName>
    <definedName name="Z_2832D4A9_017D_41FF_A8AD_9B46A6CE9CD9_.wvu.FilterData" localSheetId="0" hidden="1">現在!$A$4:$GG$7</definedName>
    <definedName name="Z_28414D16_7A5D_4C77_8053_6178CDE17D22_.wvu.FilterData" localSheetId="0" hidden="1">現在!$A$5:$AB$6</definedName>
    <definedName name="Z_2889B349_F5B2_4787_A082_80981D86BD3C_.wvu.FilterData" localSheetId="0" hidden="1">現在!$A$5:$GG$6</definedName>
    <definedName name="Z_28A0F3BB_157D_4886_82D1_F458F626183E_.wvu.FilterData" localSheetId="0" hidden="1">現在!$A$5:$GG$7</definedName>
    <definedName name="Z_28CFF886_4F8F_41A2_85CF_6E684E68322A_.wvu.FilterData" localSheetId="0" hidden="1">現在!$A$5:$GG$7</definedName>
    <definedName name="Z_28E220C8_D01A_4056_AEE6_B48E2D572D2C_.wvu.FilterData" localSheetId="0" hidden="1">現在!$A$5:$AB$6</definedName>
    <definedName name="Z_28EA2B4D_543A_4C3D_86E2_2972805FF3C7_.wvu.FilterData" localSheetId="0" hidden="1">現在!$A$5:$GG$6</definedName>
    <definedName name="Z_28FE2E84_1817_4404_AF6E_C44BCCB044A9_.wvu.FilterData" localSheetId="0" hidden="1">現在!$A$5:$GG$6</definedName>
    <definedName name="Z_291A9C8C_5E6E_434E_8512_BD287E04E8CD_.wvu.FilterData" localSheetId="0" hidden="1">現在!$A$5:$GH$6</definedName>
    <definedName name="Z_293A9F64_DAE8_4F81_809B_41A9D75665FD_.wvu.FilterData" localSheetId="0" hidden="1">現在!$A$5:$GG$7</definedName>
    <definedName name="Z_2981BFB3_0E41_4F8E_B6BE_B1331FC9A28F_.wvu.FilterData" localSheetId="0" hidden="1">現在!$A$5:$GG$6</definedName>
    <definedName name="Z_2991D378_28CA_4912_814B_123042A3D5BF_.wvu.FilterData" localSheetId="0" hidden="1">現在!$A$5:$GG$6</definedName>
    <definedName name="Z_29A50E7F_CCEC_4ECA_8597_C7647EE16D09_.wvu.FilterData" localSheetId="0" hidden="1">現在!$A$5:$GG$6</definedName>
    <definedName name="Z_29F2B2A0_D282_4F27_A62D_7EF8C5C13B36_.wvu.FilterData" localSheetId="0" hidden="1">現在!$A$5:$GG$6</definedName>
    <definedName name="Z_2A02DA6F_B990_4AFC_9B29_90B9300C46DA_.wvu.FilterData" localSheetId="0" hidden="1">現在!$A$5:$GG$6</definedName>
    <definedName name="Z_2A188093_6E5C_4E64_93FC_E903C130099C_.wvu.FilterData" localSheetId="0" hidden="1">現在!$A$5:$GG$6</definedName>
    <definedName name="Z_2A42E1DD_BE88_4091_A7D6_BFBD44C0964B_.wvu.FilterData" localSheetId="0" hidden="1">現在!$A$5:$GG$7</definedName>
    <definedName name="Z_2A6A64A2_410F_441D_BC2D_9CB4DAC7D8DC_.wvu.FilterData" localSheetId="0" hidden="1">現在!$A$5:$GG$7</definedName>
    <definedName name="Z_2A983A1C_0CEF_4418_8AB3_7CC6CDAE9742_.wvu.FilterData" localSheetId="0" hidden="1">現在!$A$5:$GG$7</definedName>
    <definedName name="Z_2AC3A633_89A3_4DD8_9C6B_97CAD122E64E_.wvu.FilterData" localSheetId="0" hidden="1">現在!$A$4:$GG$7</definedName>
    <definedName name="Z_2B024666_B62E_42EE_B302_73B789DB1D86_.wvu.FilterData" localSheetId="0" hidden="1">現在!$A$5:$GG$6</definedName>
    <definedName name="Z_2B1E374E_459D_4D2C_9FF3_374C3A5429B8_.wvu.FilterData" localSheetId="0" hidden="1">現在!$A$4:$GG$7</definedName>
    <definedName name="Z_2B364FF4_CC85_4E14_A044_84EEC9738D13_.wvu.FilterData" localSheetId="0" hidden="1">現在!$A$5:$GG$7</definedName>
    <definedName name="Z_2B8DB0CA_FD48_47EA_BD88_C27A8CC7566A_.wvu.FilterData" localSheetId="0" hidden="1">現在!$A$5:$GG$6</definedName>
    <definedName name="Z_2BA62049_CA21_4985_A547_59EFC306D351_.wvu.FilterData" localSheetId="0" hidden="1">現在!$A$5:$GG$6</definedName>
    <definedName name="Z_2BC405A2_CFB3_41F6_88B2_DFB087D1FF8A_.wvu.FilterData" localSheetId="0" hidden="1">現在!$A$5:$AB$6</definedName>
    <definedName name="Z_2C13F657_4A2A_43B5_8B61_97AC9B481AD4_.wvu.FilterData" localSheetId="0" hidden="1">現在!$A$5:$GG$7</definedName>
    <definedName name="Z_2C1A7E98_308E_488B_ADA4_2E1314BDF7CE_.wvu.FilterData" localSheetId="0" hidden="1">現在!$A$5:$GG$7</definedName>
    <definedName name="Z_2C414A74_B98C_442D_BD10_B5E9D6FCE8BD_.wvu.FilterData" localSheetId="0" hidden="1">現在!$W$5:$W$7</definedName>
    <definedName name="Z_2C437276_6332_4C25_AF1F_C366474B61F8_.wvu.FilterData" localSheetId="0" hidden="1">現在!$A$5:$AB$6</definedName>
    <definedName name="Z_2C4C93A9_D81E_479E_8653_C5E815C96465_.wvu.FilterData" localSheetId="0" hidden="1">現在!$A$5:$GG$7</definedName>
    <definedName name="Z_2C5EB8DA_35B6_4E53_9193_22083534BAE9_.wvu.FilterData" localSheetId="0" hidden="1">現在!$A$5:$GG$6</definedName>
    <definedName name="Z_2CB56D7D_0B76_4512_A2D1_AE0EC67DFB9A_.wvu.FilterData" localSheetId="0" hidden="1">現在!$A$5:$GG$6</definedName>
    <definedName name="Z_2CB902C0_6245_4B2C_8720_EED9441CAAD8_.wvu.FilterData" localSheetId="0" hidden="1">現在!$A$5:$GG$6</definedName>
    <definedName name="Z_2CE38A4F_1396_4F02_BDE4_9907E88258A7_.wvu.FilterData" localSheetId="0" hidden="1">現在!$A$5:$GG$7</definedName>
    <definedName name="Z_2D61ACEB_5439_4971_AD6F_912E7524077C_.wvu.FilterData" localSheetId="0" hidden="1">現在!$A$5:$AB$6</definedName>
    <definedName name="Z_2D6970B2_64C5_4870_94A3_953319AE1B5A_.wvu.FilterData" localSheetId="0" hidden="1">現在!$A$5:$AB$6</definedName>
    <definedName name="Z_2D6AC605_FD57_49B4_AB06_BD44FB9B9858_.wvu.FilterData" localSheetId="0" hidden="1">現在!$A$5:$GG$7</definedName>
    <definedName name="Z_2D6D7C7C_A1C3_4045_B2ED_9EEFC8EB4A47_.wvu.FilterData" localSheetId="0" hidden="1">現在!$A$5:$GG$6</definedName>
    <definedName name="Z_2D954E8A_DBEA_4122_A40B_219F3183CC48_.wvu.FilterData" localSheetId="0" hidden="1">現在!$A$5:$AB$6</definedName>
    <definedName name="Z_2DCE8366_E4B8_4C13_865E_E7E953B953FA_.wvu.FilterData" localSheetId="0" hidden="1">現在!$A$4:$GG$6</definedName>
    <definedName name="Z_2E19A334_62AF_40B9_ADA5_D50575D5F44E_.wvu.FilterData" localSheetId="0" hidden="1">現在!$A$5:$GG$7</definedName>
    <definedName name="Z_2E694C71_E85D_49B3_880A_894FD9907797_.wvu.FilterData" localSheetId="0" hidden="1">現在!$A$5:$GG$6</definedName>
    <definedName name="Z_2E85149F_32F9_439E_8ECD_A53052E2F668_.wvu.FilterData" localSheetId="0" hidden="1">現在!$A$5:$AB$6</definedName>
    <definedName name="Z_2E9B368E_8448_4339_AEFF_6D9886288051_.wvu.FilterData" localSheetId="0" hidden="1">現在!$A$5:$GG$6</definedName>
    <definedName name="Z_2EADE1A6_9343_4816_9531_6B226949FB03_.wvu.FilterData" localSheetId="0" hidden="1">現在!$A$5:$GG$7</definedName>
    <definedName name="Z_2EF4E79E_463B_4A0E_9F20_04450661D7AB_.wvu.FilterData" localSheetId="0" hidden="1">現在!$A$5:$GG$6</definedName>
    <definedName name="Z_2F115C72_2493_4989_84E5_C9673EA0F9C0_.wvu.FilterData" localSheetId="0" hidden="1">現在!$A$7:$GG$7</definedName>
    <definedName name="Z_2F242F84_C450_4AA3_9C93_47BAA6A4D86B_.wvu.FilterData" localSheetId="0" hidden="1">現在!$A$4:$GG$7</definedName>
    <definedName name="Z_2F2F5D60_D265_4CEB_8CAA_2038C26AE1B1_.wvu.FilterData" localSheetId="0" hidden="1">現在!$A$6:$GG$7</definedName>
    <definedName name="Z_2F65D433_3C84_4F1B_9D76_F1184D04BCB7_.wvu.FilterData" localSheetId="0" hidden="1">現在!$A$4:$GG$7</definedName>
    <definedName name="Z_2F7FEE45_AF6D_4C03_9284_FF16ECDADE6B_.wvu.FilterData" localSheetId="0" hidden="1">現在!$F$5:$AB$6</definedName>
    <definedName name="Z_2F9651A2_A5FD_4D6E_BADD_E5FD60CE8A1B_.wvu.FilterData" localSheetId="0" hidden="1">現在!#REF!</definedName>
    <definedName name="Z_2F9A7742_0665_42C2_BE3D_64BC53F430D2_.wvu.FilterData" localSheetId="0" hidden="1">現在!#REF!</definedName>
    <definedName name="Z_2FB5E008_6075_4C9B_9122_6FB07EACD4ED_.wvu.FilterData" localSheetId="0" hidden="1">現在!$A$5:$AB$6</definedName>
    <definedName name="Z_2FBA81B4_6808_4935_AB11_6E7C13EEFB35_.wvu.FilterData" localSheetId="0" hidden="1">現在!$A$5:$AB$6</definedName>
    <definedName name="Z_2FC4DE45_AD78_4E47_9A86_C2436E586956_.wvu.FilterData" localSheetId="0" hidden="1">現在!$A$5:$GG$7</definedName>
    <definedName name="Z_30082728_4821_44F9_9BC2_EAEA5CA024C2_.wvu.FilterData" localSheetId="0" hidden="1">現在!$A$4:$GG$7</definedName>
    <definedName name="Z_3021A621_3507_43CA_9282_2375AAF8D04D_.wvu.FilterData" localSheetId="0" hidden="1">現在!$A$5:$AB$6</definedName>
    <definedName name="Z_302E7340_ACFF_4A6B_94D6_C84D875CDA38_.wvu.FilterData" localSheetId="0" hidden="1">現在!$A$5:$AB$6</definedName>
    <definedName name="Z_30412718_617F_4966_9394_DAC4000EF4D5_.wvu.FilterData" localSheetId="0" hidden="1">現在!$A$5:$GG$6</definedName>
    <definedName name="Z_304DC8AF_C9AF_4E2F_8E56_D99A88FE8137_.wvu.FilterData" localSheetId="1" hidden="1">休日設定!$A$1:$B$77</definedName>
    <definedName name="Z_30630A04_6137_46D7_9073_2A8B0851276C_.wvu.FilterData" localSheetId="0" hidden="1">現在!$A$5:$GG$7</definedName>
    <definedName name="Z_3067FBAE_6D0E_4F43_9D17_D52C0BC2CF4D_.wvu.FilterData" localSheetId="0" hidden="1">現在!$A$5:$GG$7</definedName>
    <definedName name="Z_309A83F5_6EC5_4D49_AD77_93674C42C252_.wvu.FilterData" localSheetId="0" hidden="1">現在!$A$5:$GG$6</definedName>
    <definedName name="Z_310DF2A6_3382_4995_AEC5_CA4D0A9B07A9_.wvu.FilterData" localSheetId="0" hidden="1">現在!$A$5:$AB$7</definedName>
    <definedName name="Z_3129DD34_8FEB_46D5_84B0_E62E99E17D62_.wvu.FilterData" localSheetId="0" hidden="1">現在!$A$4:$GG$6</definedName>
    <definedName name="Z_31354ACE_B1BA_4048_B76D_B6038629E202_.wvu.FilterData" localSheetId="0" hidden="1">現在!$A$5:$GG$6</definedName>
    <definedName name="Z_315607F6_BEAE_4178_8111_E49400026E3D_.wvu.FilterData" localSheetId="0" hidden="1">現在!$A$5:$GG$6</definedName>
    <definedName name="Z_3156C624_7F1E_4B4C_8E95_5E7D217B5DC8_.wvu.FilterData" localSheetId="0" hidden="1">現在!$A$5:$GG$6</definedName>
    <definedName name="Z_3167122E_65BB_44B6_9845_455CA994D237_.wvu.FilterData" localSheetId="0" hidden="1">現在!$A$5:$GG$6</definedName>
    <definedName name="Z_3168FAD4_469A_472C_A9BD_45A63C949188_.wvu.FilterData" localSheetId="0" hidden="1">現在!$A$5:$GG$7</definedName>
    <definedName name="Z_318F9D65_2676_4127_964C_E2CCEBDEF81E_.wvu.FilterData" localSheetId="0" hidden="1">現在!$A$5:$GG$6</definedName>
    <definedName name="Z_31A0D482_F6A9_41C2_A78D_0866FF515E5B_.wvu.FilterData" localSheetId="0" hidden="1">現在!$G$5:$GG$7</definedName>
    <definedName name="Z_324135AF_CA00_4B9D_B932_705F8E3CB8A9_.wvu.FilterData" localSheetId="0" hidden="1">現在!$A$5:$GG$7</definedName>
    <definedName name="Z_3280E095_BA53_4406_B909_0A51CBC40CC7_.wvu.FilterData" localSheetId="0" hidden="1">現在!$A$5:$GG$6</definedName>
    <definedName name="Z_3299EA0B_4347_4D5C_A95B_AC74EAB813BF_.wvu.FilterData" localSheetId="0" hidden="1">現在!$A$5:$GG$6</definedName>
    <definedName name="Z_32EAD23B_3EDC_4B61_BF48_FB5086DB4AB3_.wvu.FilterData" localSheetId="0" hidden="1">現在!$A$5:$GG$6</definedName>
    <definedName name="Z_32F50F36_494B_4450_BD67_E22373B2DFDE_.wvu.FilterData" localSheetId="0" hidden="1">現在!$A$5:$GG$6</definedName>
    <definedName name="Z_330230CD_DA2C_4865_A5D9_5197946F6E22_.wvu.FilterData" localSheetId="0" hidden="1">現在!$A$5:$GG$7</definedName>
    <definedName name="Z_330FD206_DB79_41DE_900A_62983D570FF3_.wvu.FilterData" localSheetId="0" hidden="1">現在!$A$5:$GG$7</definedName>
    <definedName name="Z_3332D101_C16A_4B1A_8B8B_5EABB42E3B87_.wvu.FilterData" localSheetId="0" hidden="1">現在!$A$5:$AB$6</definedName>
    <definedName name="Z_336959B7_D9A2_4F6E_A2E5_13ABB0F69DEA_.wvu.FilterData" localSheetId="0" hidden="1">現在!$A$4:$GG$6</definedName>
    <definedName name="Z_337ACA10_A00C_4228_B94D_4EC9F1E4EF44_.wvu.FilterData" localSheetId="0" hidden="1">現在!$A$5:$GG$6</definedName>
    <definedName name="Z_33ADD051_3241_4BD7_BE68_B644C222C641_.wvu.FilterData" localSheetId="0" hidden="1">現在!$A$5:$GG$7</definedName>
    <definedName name="Z_33C44578_E5A6_4675_8B55_A6B9F9F43B37_.wvu.FilterData" localSheetId="0" hidden="1">現在!$A$5:$GG$6</definedName>
    <definedName name="Z_33D00A9A_C4AF_423C_83CE_0F9960C7C9BA_.wvu.FilterData" localSheetId="0" hidden="1">現在!$A$5:$GG$7</definedName>
    <definedName name="Z_34146984_9EE6_4696_A427_63C61BD94F50_.wvu.FilterData" localSheetId="0" hidden="1">現在!$A$5:$AB$6</definedName>
    <definedName name="Z_3416AC70_8DFF_42FA_AD7B_FF1385CE24AB_.wvu.FilterData" localSheetId="0" hidden="1">現在!$W$6:$Z$6</definedName>
    <definedName name="Z_342CC831_B492_48AD_864F_D2ACF6E0FADA_.wvu.FilterData" localSheetId="0" hidden="1">現在!$A$5:$GG$7</definedName>
    <definedName name="Z_34394918_7773_4648_B888_72EB71EF04DF_.wvu.FilterData" localSheetId="0" hidden="1">現在!$A$5:$GG$6</definedName>
    <definedName name="Z_344BFBF0_8D9D_4F41_A792_796AE73843DB_.wvu.FilterData" localSheetId="0" hidden="1">現在!$A$5:$GG$7</definedName>
    <definedName name="Z_34BFEF77_E9C4_464F_9D5A_871B9764A488_.wvu.FilterData" localSheetId="0" hidden="1">現在!$A$5:$GG$7</definedName>
    <definedName name="Z_34C4E5C0_4DCF_48DA_9749_470831F47D0F_.wvu.FilterData" localSheetId="0" hidden="1">現在!$A$5:$GG$7</definedName>
    <definedName name="Z_34C52CFE_2799_4D2A_B9D7_2CB26479D05F_.wvu.FilterData" localSheetId="0" hidden="1">現在!$W$5:$W$7</definedName>
    <definedName name="Z_34F505BE_4527_4762_AD19_8AAE711D01BA_.wvu.FilterData" localSheetId="0" hidden="1">現在!$A$5:$GG$6</definedName>
    <definedName name="Z_351B10F8_4B9A_43E3_A7A1_BBF00DD8F3CC_.wvu.FilterData" localSheetId="0" hidden="1">現在!$A$5:$GG$7</definedName>
    <definedName name="Z_352F4CB6_7FCB_4907_82E2_BEB481773BD9_.wvu.FilterData" localSheetId="0" hidden="1">現在!$A$5:$GG$6</definedName>
    <definedName name="Z_3530D774_7FCE_4EB4_AC9C_101E745C38DB_.wvu.FilterData" localSheetId="0" hidden="1">現在!$A$5:$GG$6</definedName>
    <definedName name="Z_353D14EB_5D66_45DA_8A0A_DBAAA0BA8C54_.wvu.FilterData" localSheetId="0" hidden="1">現在!$A$4:$GG$7</definedName>
    <definedName name="Z_353DC882_D2AA_4ABF_BBAF_114892CF813D_.wvu.FilterData" localSheetId="0" hidden="1">現在!$G$5:$GG$7</definedName>
    <definedName name="Z_3562CB96_EB63_498B_8C8A_4E0372B0D86A_.wvu.FilterData" localSheetId="0" hidden="1">現在!$A$4:$GG$6</definedName>
    <definedName name="Z_3606DE5D_D043_4558_8568_978673AF021F_.wvu.FilterData" localSheetId="0" hidden="1">現在!$A$5:$GG$7</definedName>
    <definedName name="Z_360B3585_FB55_467F_8096_B2FE85C5A512_.wvu.FilterData" localSheetId="0" hidden="1">現在!$H$6:$AB$6</definedName>
    <definedName name="Z_3617AE6C_61B1_4AAC_9C68_47278E379C0F_.wvu.FilterData" localSheetId="0" hidden="1">現在!$A$5:$GG$7</definedName>
    <definedName name="Z_362D0F15_3EBE_4128_B1F1_0619B96F35E0_.wvu.FilterData" localSheetId="0" hidden="1">現在!$A$4:$GG$7</definedName>
    <definedName name="Z_365D581B_FFBD_4C6C_8E48_240DD282C226_.wvu.FilterData" localSheetId="0" hidden="1">現在!$A$5:$GG$6</definedName>
    <definedName name="Z_366C08C9_DF0A_4D68_9C54_89A3B0CBCE35_.wvu.FilterData" localSheetId="0" hidden="1">現在!$A$5:$GG$6</definedName>
    <definedName name="Z_3670DBE5_DF94_492D_A663_C3D13726E767_.wvu.FilterData" localSheetId="0" hidden="1">現在!$A$6:$GG$7</definedName>
    <definedName name="Z_36975F3B_C9DE_4F6E_B18B_D2FCF72DD5B1_.wvu.FilterData" localSheetId="0" hidden="1">現在!$A$5:$GG$7</definedName>
    <definedName name="Z_36993984_37DC_438C_B1C8_92ACEBA73354_.wvu.FilterData" localSheetId="0" hidden="1">現在!$A$1:$GG$6</definedName>
    <definedName name="Z_369B3ADD_D27E_4CAC_B97B_1BBC0ED583C6_.wvu.FilterData" localSheetId="0" hidden="1">現在!$A$5:$AB$6</definedName>
    <definedName name="Z_36BF00D9_1BE6_4327_AC03_986256F10974_.wvu.FilterData" localSheetId="0" hidden="1">現在!$A$5:$AB$6</definedName>
    <definedName name="Z_36C562EA_2691_4559_8832_E740EE754CAE_.wvu.FilterData" localSheetId="0" hidden="1">現在!$A$5:$GG$7</definedName>
    <definedName name="Z_36CA0CDE_4B79_439A_ADA2_CD219BA0FCD3_.wvu.FilterData" localSheetId="0" hidden="1">現在!$A$5:$GG$7</definedName>
    <definedName name="Z_36D4110A_D76C_4C93_B901_2AA5449C92E4_.wvu.FilterData" localSheetId="0" hidden="1">現在!$A$5:$GG$7</definedName>
    <definedName name="Z_36DCB891_3AB0_4243_B6B8_DBAF6D0D88A5_.wvu.FilterData" localSheetId="0" hidden="1">現在!$A$5:$AB$6</definedName>
    <definedName name="Z_36F781DA_0E16_4520_917C_0A5528B19658_.wvu.FilterData" localSheetId="0" hidden="1">現在!$W$5:$W$90</definedName>
    <definedName name="Z_37069E4D_A284_426E_9C84_D1862E25B811_.wvu.FilterData" localSheetId="0" hidden="1">現在!$A$5:$GG$7</definedName>
    <definedName name="Z_37086F68_1EE0_4200_9F01_A1DBE88C75C3_.wvu.FilterData" localSheetId="0" hidden="1">現在!$A$5:$AB$6</definedName>
    <definedName name="Z_370AAB1B_AB18_44EB_A7E2_9C0F9F05D82A_.wvu.FilterData" localSheetId="0" hidden="1">現在!$A$5:$GG$6</definedName>
    <definedName name="Z_37157BDB_7463_44BB_A056_3306F1926465_.wvu.FilterData" localSheetId="0" hidden="1">現在!$A$5:$AB$6</definedName>
    <definedName name="Z_3771AC6E_651A_4E8E_B993_ECA41698E5DE_.wvu.FilterData" localSheetId="0" hidden="1">現在!$A$5:$GG$6</definedName>
    <definedName name="Z_378A919A_B35C_416F_8056_99C3D2EE3336_.wvu.FilterData" localSheetId="0" hidden="1">現在!$A$5:$GG$6</definedName>
    <definedName name="Z_37F91627_E02A_48A0_A038_CA899750DD49_.wvu.FilterData" localSheetId="0" hidden="1">現在!$A$5:$GG$7</definedName>
    <definedName name="Z_37FA369A_9DAE_48FD_BD0E_87ADBFC1905B_.wvu.FilterData" localSheetId="0" hidden="1">現在!$A$4:$GG$7</definedName>
    <definedName name="Z_385E4AEB_192A_4784_B622_47AA110FB839_.wvu.FilterData" localSheetId="0" hidden="1">現在!$A$5:$GG$7</definedName>
    <definedName name="Z_3864F8D3_0230_4A7D_B566_EB3FC7C85DFD_.wvu.FilterData" localSheetId="0" hidden="1">現在!$A$5:$GG$7</definedName>
    <definedName name="Z_38F0E194_44D0_47E3_9449_A48478DC0800_.wvu.FilterData" localSheetId="0" hidden="1">現在!$A$5:$GG$7</definedName>
    <definedName name="Z_38F114C3_219E_4E88_84FB_B0C5E50B86F8_.wvu.FilterData" localSheetId="0" hidden="1">現在!$A$5:$GG$6</definedName>
    <definedName name="Z_3905A276_1F70_43AB_9381_D260C8F6E486_.wvu.FilterData" localSheetId="0" hidden="1">現在!$A$5:$GG$7</definedName>
    <definedName name="Z_39479B9A_A369_41DA_81C3_BD651778E2F4_.wvu.FilterData" localSheetId="0" hidden="1">現在!$A$5:$AB$6</definedName>
    <definedName name="Z_3953EEDA_5159_4C43_BD49_0B7206743D5A_.wvu.FilterData" localSheetId="0" hidden="1">現在!$A$5:$GG$6</definedName>
    <definedName name="Z_39804E50_BF05_49BC_9B7D_5F3FD7D4C1B7_.wvu.FilterData" localSheetId="0" hidden="1">現在!$A$5:$GG$7</definedName>
    <definedName name="Z_39AAD048_E472_4055_B8E8_123C7826B9A9_.wvu.FilterData" localSheetId="0" hidden="1">現在!$F$5:$AB$6</definedName>
    <definedName name="Z_3A08BF29_C1F5_4F83_B02F_36B6BA6A3FCC_.wvu.FilterData" localSheetId="0" hidden="1">現在!$A$5:$AB$6</definedName>
    <definedName name="Z_3A1447C7_A37C_46E4_9184_46B49C26A6F1_.wvu.FilterData" localSheetId="0" hidden="1">現在!$A$5:$GG$7</definedName>
    <definedName name="Z_3A281FC5_D4B9_4BAC_B322_965F9D35AB74_.wvu.FilterData" localSheetId="0" hidden="1">現在!$A$4:$GG$7</definedName>
    <definedName name="Z_3A3179C3_25D9_48F6_846A_5662ECDD2A6E_.wvu.FilterData" localSheetId="0" hidden="1">現在!$A$5:$GG$6</definedName>
    <definedName name="Z_3A5795BA_464B_4D64_8D13_2BD709899016_.wvu.FilterData" localSheetId="0" hidden="1">現在!$A$5:$AB$6</definedName>
    <definedName name="Z_3A6F5CB9_48A2_43CC_91F7_489F7CC50E51_.wvu.FilterData" localSheetId="0" hidden="1">現在!$A$5:$GG$6</definedName>
    <definedName name="Z_3A785AE1_BCC8_45A9_80D8_ED4C0A00C7B0_.wvu.FilterData" localSheetId="0" hidden="1">現在!$A$5:$AB$6</definedName>
    <definedName name="Z_3A8D98B0_924E_4886_A81A_298BFF8FE4E2_.wvu.FilterData" localSheetId="0" hidden="1">現在!$A$5:$GG$7</definedName>
    <definedName name="Z_3A96EF1B_A14F_402D_BA2E_446DFA0395C6_.wvu.FilterData" localSheetId="0" hidden="1">現在!$A$5:$GG$6</definedName>
    <definedName name="Z_3A9BC905_F0CE_4254_AD11_350CB9864C3D_.wvu.FilterData" localSheetId="0" hidden="1">現在!$A$5:$AB$7</definedName>
    <definedName name="Z_3AA477C6_5E58_4AD4_95CD_592B974FD73C_.wvu.FilterData" localSheetId="0" hidden="1">現在!$A$4:$GG$7</definedName>
    <definedName name="Z_3AEAB689_3296_4B21_9FBA_9DA2FA77C858_.wvu.FilterData" localSheetId="0" hidden="1">現在!$A$5:$GG$6</definedName>
    <definedName name="Z_3B3F3CC0_C60A_46A9_9781_DBC2BD46970C_.wvu.FilterData" localSheetId="0" hidden="1">現在!$A$5:$AB$6</definedName>
    <definedName name="Z_3B42CE3A_ED7E_419F_BD95_4898C40864CA_.wvu.FilterData" localSheetId="0" hidden="1">現在!$A$5:$GG$6</definedName>
    <definedName name="Z_3B4F07B0_A088_499F_80C2_184077FAA950_.wvu.FilterData" localSheetId="0" hidden="1">現在!$A$5:$GG$7</definedName>
    <definedName name="Z_3B8182E4_D7A8_407C_BD8D_71BEA27FA0B6_.wvu.FilterData" localSheetId="0" hidden="1">現在!$A$5:$GG$6</definedName>
    <definedName name="Z_3BEC739E_78D5_4158_A473_8A0506323CFF_.wvu.FilterData" localSheetId="0" hidden="1">現在!#REF!</definedName>
    <definedName name="Z_3C0CF125_6FA2_4326_9DDD_FF6D0737422A_.wvu.FilterData" localSheetId="0" hidden="1">現在!$A$5:$GG$6</definedName>
    <definedName name="Z_3C1FCF80_CB49_477A_9AE2_5B7852E82109_.wvu.FilterData" localSheetId="0" hidden="1">現在!$A$5:$GG$7</definedName>
    <definedName name="Z_3C3F9FFC_8D21_47DB_9730_88641DDD7342_.wvu.FilterData" localSheetId="0" hidden="1">現在!$A$5:$AB$6</definedName>
    <definedName name="Z_3C400EE4_0440_4986_91AE_546670617B5D_.wvu.FilterData" localSheetId="0" hidden="1">現在!$A$5:$GG$7</definedName>
    <definedName name="Z_3C75F63E_6804_4D4B_A30D_DA841FD6A070_.wvu.FilterData" localSheetId="0" hidden="1">現在!$A$5:$GH$6</definedName>
    <definedName name="Z_3C779C41_F70B_4CDA_BD01_82FF161CF38D_.wvu.FilterData" localSheetId="0" hidden="1">現在!$A$4:$GG$7</definedName>
    <definedName name="Z_3CAE8449_127D_4D89_945A_3227C8A37FBB_.wvu.FilterData" localSheetId="0" hidden="1">現在!$A$5:$GG$6</definedName>
    <definedName name="Z_3CF2FF6F_567D_48A5_8E3C_BD9C7983FC38_.wvu.FilterData" localSheetId="0" hidden="1">現在!$A$4:$GG$7</definedName>
    <definedName name="Z_3D113D5E_F200_4EC3_A811_08E7EF13D9E2_.wvu.FilterData" localSheetId="0" hidden="1">現在!$A$5:$GG$7</definedName>
    <definedName name="Z_3D1E3D2D_DC36_4953_9BC1_912D462F9E48_.wvu.FilterData" localSheetId="0" hidden="1">現在!$A$5:$AB$6</definedName>
    <definedName name="Z_3D51163F_B1D6_4FE9_9F70_BA8A24FF7F6C_.wvu.FilterData" localSheetId="0" hidden="1">現在!$A$5:$GG$7</definedName>
    <definedName name="Z_3D7AA644_3700_435C_8EEC_9E7D2D06C2C5_.wvu.FilterData" localSheetId="0" hidden="1">現在!$A$5:$GG$6</definedName>
    <definedName name="Z_3D93FD98_6FAE_4773_B572_CB1C9CA1232D_.wvu.FilterData" localSheetId="0" hidden="1">現在!$A$5:$GG$6</definedName>
    <definedName name="Z_3DA7929A_E795_4520_8252_7FC70ACE8B8C_.wvu.FilterData" localSheetId="0" hidden="1">現在!$A$5:$GG$7</definedName>
    <definedName name="Z_3DB34394_EE20_4DA9_8ABB_61BD43D3D874_.wvu.FilterData" localSheetId="0" hidden="1">現在!$A$5:$GG$7</definedName>
    <definedName name="Z_3DBCA94F_2C81_4692_8338_CF9D5E60C2E5_.wvu.FilterData" localSheetId="0" hidden="1">現在!$H$6:$AB$6</definedName>
    <definedName name="Z_3E06D97B_9DD6_4EB2_A5D0_B78993B42112_.wvu.FilterData" localSheetId="0" hidden="1">現在!$A$5:$AB$6</definedName>
    <definedName name="Z_3E0DA521_9FA4_4286_8357_F853E6B0EB36_.wvu.FilterData" localSheetId="0" hidden="1">現在!$A$5:$GG$6</definedName>
    <definedName name="Z_3E1141FE_321A_470D_87AE_723F7A405FD0_.wvu.FilterData" localSheetId="0" hidden="1">現在!$A$6:$GG$7</definedName>
    <definedName name="Z_3E34F69A_D04C_4B84_8F68_33E8AA203697_.wvu.FilterData" localSheetId="0" hidden="1">現在!$G$5:$GG$7</definedName>
    <definedName name="Z_3E462973_7D26_47A5_9B9D_716DB462353B_.wvu.FilterData" localSheetId="0" hidden="1">現在!$A$5:$GG$7</definedName>
    <definedName name="Z_3EB46A65_C0FD_4DBE_BD5B_5DB5965B6B33_.wvu.FilterData" localSheetId="0" hidden="1">現在!$A$5:$GG$7</definedName>
    <definedName name="Z_3EDAB751_9A4B_4E0D_A49F_90E4E11F7D08_.wvu.FilterData" localSheetId="0" hidden="1">現在!$A$5:$GG$6</definedName>
    <definedName name="Z_3EEC950F_41B3_4125_8A7D_01B1CCC2C2C9_.wvu.FilterData" localSheetId="0" hidden="1">現在!$A$5:$GG$6</definedName>
    <definedName name="Z_3F1A5A81_F2F0_4800_875D_23C784628DAD_.wvu.FilterData" localSheetId="0" hidden="1">現在!$A$5:$GG$7</definedName>
    <definedName name="Z_3F735906_AC2D_4BF2_92D4_4247EA6ED683_.wvu.FilterData" localSheetId="0" hidden="1">現在!$A$5:$GG$6</definedName>
    <definedName name="Z_3F92A511_39E3_473F_B0BB_D840CC7EB3DA_.wvu.FilterData" localSheetId="0" hidden="1">現在!$A$5:$GG$7</definedName>
    <definedName name="Z_3FBE4011_5A8F_4FCD_AAFC_E7D1922C1F14_.wvu.FilterData" localSheetId="0" hidden="1">現在!$A$5:$GG$7</definedName>
    <definedName name="Z_3FCE864D_0833_46E0_BD33_6ABFFC676B3D_.wvu.FilterData" localSheetId="0" hidden="1">現在!$A$5:$GG$6</definedName>
    <definedName name="Z_3FF80240_E2BC_46D2_AFA2_04E7B183A383_.wvu.FilterData" localSheetId="0" hidden="1">現在!$A$5:$GG$7</definedName>
    <definedName name="Z_401D2F1E_15E6_4D2B_932A_A86F34270B97_.wvu.FilterData" localSheetId="0" hidden="1">現在!$A$5:$GG$7</definedName>
    <definedName name="Z_404196E5_7A96_43F2_BED4_14B135E1B821_.wvu.FilterData" localSheetId="0" hidden="1">現在!$A$5:$AB$6</definedName>
    <definedName name="Z_406117A2_795F_4BAD_B745_35C11A5F68EA_.wvu.FilterData" localSheetId="0" hidden="1">現在!$A$5:$GG$6</definedName>
    <definedName name="Z_4067275A_AA66_4DCE_B18F_6C78C6C01693_.wvu.FilterData" localSheetId="0" hidden="1">現在!$A$5:$GG$6</definedName>
    <definedName name="Z_407AF5CC_5DF3_45C6_9BEF_759C58FEC58C_.wvu.FilterData" localSheetId="0" hidden="1">現在!$A$5:$GG$6</definedName>
    <definedName name="Z_409F66CA_9117_45F0_B576_FB51FCCFBB15_.wvu.FilterData" localSheetId="0" hidden="1">現在!$A$5:$GG$6</definedName>
    <definedName name="Z_40A85575_76B9_4F90_80BE_03A0FEC77895_.wvu.FilterData" localSheetId="0" hidden="1">現在!$A$5:$GG$7</definedName>
    <definedName name="Z_40DA51E1_B747_4954_B5F0_63FF2BC4952C_.wvu.FilterData" localSheetId="0" hidden="1">現在!$A$5:$AB$6</definedName>
    <definedName name="Z_40DA9E5D_31B7_4515_AFDF_0EB66B72C127_.wvu.FilterData" localSheetId="0" hidden="1">現在!$A$6:$GG$7</definedName>
    <definedName name="Z_412A9890_344F_4568_9F9D_35B404AC18FC_.wvu.FilterData" localSheetId="0" hidden="1">現在!$A$5:$GG$6</definedName>
    <definedName name="Z_41615744_776B_43CB_BCBF_9DCF67741926_.wvu.FilterData" localSheetId="0" hidden="1">現在!$A$5:$GG$6</definedName>
    <definedName name="Z_416A0C6A_7CD9_4771_BBB8_4EFE06B3CA84_.wvu.FilterData" localSheetId="0" hidden="1">現在!$A$5:$GG$6</definedName>
    <definedName name="Z_416AD70F_70E3_4FB3_B1A7_C2DE6EE9C9C5_.wvu.FilterData" localSheetId="0" hidden="1">現在!$A$5:$AB$6</definedName>
    <definedName name="Z_416FE62C_29C8_4DCC_A0B7_B546BDDA32B5_.wvu.FilterData" localSheetId="0" hidden="1">現在!$A$5:$GG$6</definedName>
    <definedName name="Z_41EDF5C1_11E1_47AA_A753_BB96A21889D6_.wvu.FilterData" localSheetId="0" hidden="1">現在!$A$5:$GG$6</definedName>
    <definedName name="Z_41F69FAC_FFA9_478C_A200_7984B79C8AB0_.wvu.FilterData" localSheetId="0" hidden="1">現在!$A$5:$GG$6</definedName>
    <definedName name="Z_42268AA8_7887_4A33_B342_6AC36C3A6CB2_.wvu.FilterData" localSheetId="0" hidden="1">現在!$A$5:$GG$7</definedName>
    <definedName name="Z_42411CD3_2456_4FA2_B6DD_2C354D1F7601_.wvu.FilterData" localSheetId="0" hidden="1">現在!$A$5:$GG$7</definedName>
    <definedName name="Z_424A8101_6900_4111_BBAC_C7569B505103_.wvu.FilterData" localSheetId="0" hidden="1">現在!$A$5:$GG$6</definedName>
    <definedName name="Z_42899057_D808_4D50_B5E1_C69E8518024A_.wvu.FilterData" localSheetId="0" hidden="1">現在!$A$5:$GG$6</definedName>
    <definedName name="Z_42A75607_5BC4_4EC5_A543_298EFB765CBC_.wvu.FilterData" localSheetId="0" hidden="1">現在!$A$5:$GG$7</definedName>
    <definedName name="Z_42E7AD38_4AC7_48EC_8810_C11247035983_.wvu.FilterData" localSheetId="0" hidden="1">現在!$A$5:$GG$6</definedName>
    <definedName name="Z_4312F607_436E_40FB_BE1C_D7090C75D9DF_.wvu.FilterData" localSheetId="0" hidden="1">現在!$A$5:$GG$7</definedName>
    <definedName name="Z_4318BE55_F75A_4A2F_B055_3AFF862D8EBE_.wvu.FilterData" localSheetId="0" hidden="1">現在!$A$5:$GH$6</definedName>
    <definedName name="Z_43535412_79FC_4C31_A925_21F18158F2CB_.wvu.FilterData" localSheetId="0" hidden="1">現在!$A$5:$GG$7</definedName>
    <definedName name="Z_43555657_0E7A_4D5A_A928_5F28F5B4CE3C_.wvu.FilterData" localSheetId="0" hidden="1">現在!$A$4:$GG$7</definedName>
    <definedName name="Z_43A95D0C_C65E_4F62_B39D_9857181F7D56_.wvu.FilterData" localSheetId="0" hidden="1">現在!$A$4:$GG$7</definedName>
    <definedName name="Z_43AA59FE_7E0E_49B9_B5EA_D3EAC04758BD_.wvu.FilterData" localSheetId="0" hidden="1">現在!$A$5:$GG$7</definedName>
    <definedName name="Z_43D74386_BBB8_479E_A7F9_EE70FAF50B24_.wvu.FilterData" localSheetId="0" hidden="1">現在!$A$4:$GG$7</definedName>
    <definedName name="Z_4407D3CC_ED32_4326_834F_80EEC3CC0410_.wvu.FilterData" localSheetId="0" hidden="1">現在!$A$5:$GG$7</definedName>
    <definedName name="Z_445ADA3F_DC58_43E5_989B_E8BB8D068D59_.wvu.FilterData" localSheetId="0" hidden="1">現在!$A$4:$GG$7</definedName>
    <definedName name="Z_44B3568B_029E_49ED_B366_EE69D617C0B8_.wvu.FilterData" localSheetId="0" hidden="1">現在!$A$5:$GG$6</definedName>
    <definedName name="Z_44D32E07_8CDE_4688_9811_EE5ABC2CBA6A_.wvu.FilterData" localSheetId="0" hidden="1">現在!$A$4:$GG$7</definedName>
    <definedName name="Z_44DEA4F7_D9D1_43C3_990F_5443E4BCC445_.wvu.FilterData" localSheetId="0" hidden="1">現在!$A$5:$GG$6</definedName>
    <definedName name="Z_4527196A_8A7B_4AA2_97E9_22B122FC44DE_.wvu.FilterData" localSheetId="0" hidden="1">現在!$A$5:$AB$6</definedName>
    <definedName name="Z_45538731_1514_4F6B_A03E_22F3E1062359_.wvu.FilterData" localSheetId="0" hidden="1">現在!$A$5:$GG$7</definedName>
    <definedName name="Z_45826A90_925A_48F0_B34F_BD07B7FB8CB6_.wvu.FilterData" localSheetId="0" hidden="1">現在!$A$5:$GG$6</definedName>
    <definedName name="Z_45BF2963_1E2E_468C_8C4E_9E70F74C94ED_.wvu.FilterData" localSheetId="0" hidden="1">現在!$A$5:$GG$6</definedName>
    <definedName name="Z_45F3C8A6_943E_460B_9846_A06C72BFE0C9_.wvu.FilterData" localSheetId="0" hidden="1">現在!$A$5:$GG$7</definedName>
    <definedName name="Z_45F92B6F_285E_4699_B5B5_158A9C3C50A2_.wvu.FilterData" localSheetId="0" hidden="1">現在!$A$5:$AB$6</definedName>
    <definedName name="Z_462129C4_4FF8_4E9D_9E95_F202D872A7D4_.wvu.FilterData" localSheetId="0" hidden="1">現在!$A$4:$GG$7</definedName>
    <definedName name="Z_4627857A_403C_421F_A5EE_F0498DAE7A02_.wvu.FilterData" localSheetId="0" hidden="1">現在!$A$5:$GG$6</definedName>
    <definedName name="Z_463712A9_8C47_46C7_9888_27819B182042_.wvu.FilterData" localSheetId="0" hidden="1">現在!$A$5:$GG$6</definedName>
    <definedName name="Z_463A4BF5_2637_4302_9F4A_E143659D23A4_.wvu.FilterData" localSheetId="0" hidden="1">現在!$A$5:$GG$6</definedName>
    <definedName name="Z_4678CBD1_95EE_440B_9A13_A2B8E5D645C7_.wvu.FilterData" localSheetId="0" hidden="1">現在!$A$4:$GG$7</definedName>
    <definedName name="Z_468AEDF4_FA88_40AF_8E24_6B2B23819AE8_.wvu.FilterData" localSheetId="0" hidden="1">現在!$A$5:$AB$6</definedName>
    <definedName name="Z_46AD09C3_2965_445E_BF80_B989B06BFF35_.wvu.FilterData" localSheetId="0" hidden="1">現在!$A$5:$GG$6</definedName>
    <definedName name="Z_46AF0989_4EAF_48B9_ABAB_51A1F85F1E10_.wvu.FilterData" localSheetId="0" hidden="1">現在!$A$5:$GG$7</definedName>
    <definedName name="Z_46C224E7_106F_49EB_8C45_8DBF913EBF53_.wvu.FilterData" localSheetId="0" hidden="1">現在!$A$5:$GG$7</definedName>
    <definedName name="Z_47105DF1_7635_4D66_A17C_6F588A5FCD08_.wvu.FilterData" localSheetId="0" hidden="1">現在!$A$6:$GG$7</definedName>
    <definedName name="Z_471BA5EE_B915_4F78_96E2_7D593235C173_.wvu.FilterData" localSheetId="0" hidden="1">現在!#REF!</definedName>
    <definedName name="Z_471E6710_C361_4100_BB17_ADD6A3342C13_.wvu.FilterData" localSheetId="0" hidden="1">現在!$A$5:$GG$6</definedName>
    <definedName name="Z_47210716_421D_4025_922E_E797692639DA_.wvu.FilterData" localSheetId="0" hidden="1">現在!$A$5:$GG$6</definedName>
    <definedName name="Z_47218096_B3D8_4F0B_B8E2_CF9882848C69_.wvu.FilterData" localSheetId="0" hidden="1">現在!$A$5:$GG$6</definedName>
    <definedName name="Z_4725D569_E3C8_44FA_B184_F2A29D796357_.wvu.FilterData" localSheetId="0" hidden="1">現在!$A$4:$GG$7</definedName>
    <definedName name="Z_47630FDD_315B_4DAB_886D_DC66CCA86138_.wvu.FilterData" localSheetId="0" hidden="1">現在!$A$5:$GG$6</definedName>
    <definedName name="Z_47B7343D_91E3_4DCB_AA6C_DD310F014B90_.wvu.FilterData" localSheetId="0" hidden="1">現在!$A$5:$AB$6</definedName>
    <definedName name="Z_47C8D573_5D2A_4BB7_B799_49CCE7700471_.wvu.FilterData" localSheetId="0" hidden="1">現在!#REF!</definedName>
    <definedName name="Z_47E86E4E_D75C_4189_8679_0F542152283D_.wvu.FilterData" localSheetId="0" hidden="1">現在!$A$5:$GG$7</definedName>
    <definedName name="Z_47F763A1_24C7_420E_A074_562AA0C91187_.wvu.FilterData" localSheetId="0" hidden="1">現在!$A$5:$GG$7</definedName>
    <definedName name="Z_47F7DB4D_333C_47DB_9B6A_D47727E3A2FF_.wvu.FilterData" localSheetId="0" hidden="1">現在!$A$5:$GG$6</definedName>
    <definedName name="Z_483A0069_5A37_4945_85B6_06D676905886_.wvu.FilterData" localSheetId="0" hidden="1">現在!$W$5:$W$91</definedName>
    <definedName name="Z_485CB850_3F42_44C1_9635_E5F154E87197_.wvu.FilterData" localSheetId="0" hidden="1">現在!$A$5:$GG$7</definedName>
    <definedName name="Z_4867355D_5459_4A82_9677_8DB7D039C29B_.wvu.FilterData" localSheetId="0" hidden="1">現在!$A$5:$GG$6</definedName>
    <definedName name="Z_486D7601_B983_40BF_AFED_4F9DF54BD2CC_.wvu.FilterData" localSheetId="0" hidden="1">現在!$A$6:$GG$7</definedName>
    <definedName name="Z_4893013B_A285_4EC3_A982_506F539E7EA0_.wvu.FilterData" localSheetId="0" hidden="1">現在!$A$5:$GG$7</definedName>
    <definedName name="Z_48CEA2CD_2BB9_435D_94D4_3BF1499A2893_.wvu.FilterData" localSheetId="0" hidden="1">現在!$A$5:$GG$6</definedName>
    <definedName name="Z_48EDA309_C64D_45A4_A76D_776B8B21C4D6_.wvu.FilterData" localSheetId="0" hidden="1">現在!$A$4:$GG$7</definedName>
    <definedName name="Z_49069DD4_9A62_4668_A6D4_4D329C0306B1_.wvu.FilterData" localSheetId="0" hidden="1">現在!$A$5:$GG$6</definedName>
    <definedName name="Z_490EAC58_8F36_491D_8B94_E95B23E8C202_.wvu.FilterData" localSheetId="0" hidden="1">現在!$A$6:$GG$7</definedName>
    <definedName name="Z_492451C9_2800_4805_95CE_44CC7028778E_.wvu.FilterData" localSheetId="0" hidden="1">現在!$A$5:$GG$6</definedName>
    <definedName name="Z_494AAD9D_AAAE_4448_94C6_346D4624894F_.wvu.FilterData" localSheetId="0" hidden="1">現在!$A$5:$AB$6</definedName>
    <definedName name="Z_49AFF676_59B9_46E4_818B_760FFC5BD5A5_.wvu.FilterData" localSheetId="0" hidden="1">現在!$A$5:$GG$6</definedName>
    <definedName name="Z_49D1D1B9_962E_418E_A3EF_296544C36FDE_.wvu.FilterData" localSheetId="0" hidden="1">現在!$W$5:$W$90</definedName>
    <definedName name="Z_49DAEE9A_3BBF_4A76_92A3_DF23CE10ADDB_.wvu.FilterData" localSheetId="0" hidden="1">現在!$A$5:$GG$7</definedName>
    <definedName name="Z_4A354D17_8F71_4B70_993E_8B1996BCD393_.wvu.FilterData" localSheetId="0" hidden="1">現在!$A$5:$GG$6</definedName>
    <definedName name="Z_4A492938_FBF1_4A5D_B9AE_66AB76DF5C30_.wvu.FilterData" localSheetId="0" hidden="1">現在!$A$5:$AB$6</definedName>
    <definedName name="Z_4A57052E_B299_4DB1_8DB6_64D197860CB7_.wvu.FilterData" localSheetId="0" hidden="1">現在!$A$4:$GG$7</definedName>
    <definedName name="Z_4A879D48_5692_4E43_B4F3_789CD2F57E1C_.wvu.FilterData" localSheetId="0" hidden="1">現在!$A$4:$GG$7</definedName>
    <definedName name="Z_4A9993AE_6BB0_400B_BC8E_922529EB02FC_.wvu.FilterData" localSheetId="0" hidden="1">現在!$A$5:$GG$7</definedName>
    <definedName name="Z_4ABF0109_FFE0_4D07_BFB2_AEBBDB2C72EB_.wvu.FilterData" localSheetId="0" hidden="1">現在!$A$5:$GG$6</definedName>
    <definedName name="Z_4ACFEF30_12CA_4816_BDF2_F8C44786A5E5_.wvu.FilterData" localSheetId="0" hidden="1">現在!$A$4:$GG$7</definedName>
    <definedName name="Z_4AF1197E_B189_41E3_89C0_115A022A5FE3_.wvu.FilterData" localSheetId="0" hidden="1">現在!$A$4:$GG$7</definedName>
    <definedName name="Z_4B1A64C3_8AB7_442C_BF48_54CE12BCD9A5_.wvu.FilterData" localSheetId="0" hidden="1">現在!$A$4:$GG$7</definedName>
    <definedName name="Z_4B4926D6_A5F1_4B57_87A1_62CABA8F91C0_.wvu.FilterData" localSheetId="0" hidden="1">現在!$A$5:$GG$7</definedName>
    <definedName name="Z_4BCBEEBC_0B2D_476E_8A6E_FF9299720950_.wvu.FilterData" localSheetId="0" hidden="1">現在!$A$5:$GG$7</definedName>
    <definedName name="Z_4BE45288_7B55_491C_82BB_CB478CB5917E_.wvu.FilterData" localSheetId="0" hidden="1">現在!$A$4:$GG$7</definedName>
    <definedName name="Z_4BF64213_A4A6_4CAD_8794_AFFE2C9556C8_.wvu.FilterData" localSheetId="0" hidden="1">現在!$A$5:$AB$6</definedName>
    <definedName name="Z_4C2D78A2_55B6_467E_BC8B_B0FBB97060D8_.wvu.FilterData" localSheetId="0" hidden="1">現在!$A$5:$GG$6</definedName>
    <definedName name="Z_4C419857_8BC2_45D0_B560_FA19E8D6BA83_.wvu.FilterData" localSheetId="0" hidden="1">現在!$A$5:$GG$6</definedName>
    <definedName name="Z_4C4AD0B1_CB26_45F1_895C_97FD1438750E_.wvu.FilterData" localSheetId="0" hidden="1">現在!$A$5:$GG$7</definedName>
    <definedName name="Z_4C6D9A94_AF29_4BAB_A38E_7FA61380CAC9_.wvu.FilterData" localSheetId="0" hidden="1">現在!$A$5:$GH$6</definedName>
    <definedName name="Z_4C75B490_96C9_4113_834A_9031BCD195FA_.wvu.FilterData" localSheetId="0" hidden="1">現在!$A$5:$GG$6</definedName>
    <definedName name="Z_4C798A60_64D5_42FE_9B01_47E93762310F_.wvu.FilterData" localSheetId="0" hidden="1">現在!$A$5:$GG$7</definedName>
    <definedName name="Z_4C7FCA31_1537_44A3_A2CA_D3322B607179_.wvu.FilterData" localSheetId="0" hidden="1">現在!$W$6:$Z$6</definedName>
    <definedName name="Z_4C8486E7_AC29_434D_A938_BA1DDA09568B_.wvu.FilterData" localSheetId="0" hidden="1">現在!$A$4:$GG$7</definedName>
    <definedName name="Z_4CB6F7A4_AF14_4357_A04E_95AA9781D323_.wvu.FilterData" localSheetId="0" hidden="1">現在!$A$5:$AB$6</definedName>
    <definedName name="Z_4CBCB470_09CA_4FC9_A21C_C379A4DD4F9B_.wvu.FilterData" localSheetId="0" hidden="1">現在!$A$4:$GG$7</definedName>
    <definedName name="Z_4CCC8ABF_15AB_41BC_9DC3_209D7FEBDED3_.wvu.FilterData" localSheetId="0" hidden="1">現在!$A$5:$AB$6</definedName>
    <definedName name="Z_4CCF2EAD_1967_4DD0_8704_15A063D1E6E9_.wvu.FilterData" localSheetId="0" hidden="1">現在!$A$4:$GG$7</definedName>
    <definedName name="Z_4CE2F186_109B_4FFA_BDD5_AE430F3D5B48_.wvu.FilterData" localSheetId="0" hidden="1">現在!$A$5:$AB$6</definedName>
    <definedName name="Z_4D464108_6DBB_49E6_B375_26A5D9133B66_.wvu.FilterData" localSheetId="0" hidden="1">現在!$A$6:$GG$7</definedName>
    <definedName name="Z_4D59B1B9_7505_47D8_9968_1403148EB583_.wvu.FilterData" localSheetId="0" hidden="1">現在!$A$5:$GG$6</definedName>
    <definedName name="Z_4DDB18E0_7CFB_4762_B3BA_3AEE3A704315_.wvu.FilterData" localSheetId="0" hidden="1">現在!$A$5:$AB$6</definedName>
    <definedName name="Z_4DED5319_7614_452B_8B97_82DBF5CF0538_.wvu.FilterData" localSheetId="0" hidden="1">現在!$A$5:$GG$6</definedName>
    <definedName name="Z_4DFED82E_4A2F_46BB_81D8_23CF2B4A023B_.wvu.FilterData" localSheetId="0" hidden="1">現在!$A$5:$GG$6</definedName>
    <definedName name="Z_4E1A5E1A_2330_4BCC_BA7A_23AE5B33E8F2_.wvu.FilterData" localSheetId="0" hidden="1">現在!$A$5:$GG$7</definedName>
    <definedName name="Z_4E536C04_DBD0_4ED7_866F_AEA07484D6E3_.wvu.FilterData" localSheetId="0" hidden="1">現在!$A$5:$AB$6</definedName>
    <definedName name="Z_4E593A23_F5DB_47D5_9882_72F3163D96FF_.wvu.FilterData" localSheetId="0" hidden="1">現在!$A$5:$GG$6</definedName>
    <definedName name="Z_4E8A6653_05B3_46CF_B230_F686FD9D1E54_.wvu.FilterData" localSheetId="0" hidden="1">現在!$A$5:$GG$6</definedName>
    <definedName name="Z_4EAA9411_88D0_4F34_961B_E5B7E39347E1_.wvu.FilterData" localSheetId="0" hidden="1">現在!$A$4:$GG$7</definedName>
    <definedName name="Z_4EB894E3_5A2A_4A6D_9A78_C75C06B8FF60_.wvu.FilterData" localSheetId="0" hidden="1">現在!$F$5:$AB$6</definedName>
    <definedName name="Z_4EBF8C12_2832_4FE2_9D3F_7D07080E2E04_.wvu.FilterData" localSheetId="0" hidden="1">現在!$A$5:$GG$6</definedName>
    <definedName name="Z_4EC36E0E_5DD8_4366_BF45_BA41857AFD59_.wvu.FilterData" localSheetId="0" hidden="1">現在!$A$5:$GG$6</definedName>
    <definedName name="Z_4ED88A1C_00C1_4CAC_BA2F_F43C7C0C8443_.wvu.FilterData" localSheetId="0" hidden="1">現在!$W$5:$W$7</definedName>
    <definedName name="Z_4F01244E_B7E5_4DBD_981D_A59724EED800_.wvu.FilterData" localSheetId="0" hidden="1">現在!$A$5:$GG$6</definedName>
    <definedName name="Z_4F525DFF_B480_42D3_BF3D_C5FE57736A9D_.wvu.FilterData" localSheetId="0" hidden="1">現在!$A$6:$GG$7</definedName>
    <definedName name="Z_4FC3A9E7_CA60_4FB0_BDD4_0BDA0F455AE0_.wvu.FilterData" localSheetId="0" hidden="1">現在!$A$5:$GG$6</definedName>
    <definedName name="Z_4FC4F87E_585F_4727_8050_C8C5C464EA2F_.wvu.FilterData" localSheetId="0" hidden="1">現在!$A$7:$GG$7</definedName>
    <definedName name="Z_4FE716FA_3782_461C_AC5E_A67EFD4FEBF6_.wvu.FilterData" localSheetId="0" hidden="1">現在!$A$5:$AB$6</definedName>
    <definedName name="Z_50314793_BF27_4123_ADF2_A5C1C98CCA25_.wvu.FilterData" localSheetId="0" hidden="1">現在!$A$5:$GG$7</definedName>
    <definedName name="Z_50443EA1_9A4C_4391_B60D_28E16FCE2FE8_.wvu.FilterData" localSheetId="0" hidden="1">現在!$A$5:$GG$7</definedName>
    <definedName name="Z_505E34CB_4B72_4335_AF7D_64E417120F4D_.wvu.FilterData" localSheetId="0" hidden="1">現在!$A$5:$GG$6</definedName>
    <definedName name="Z_50612783_ABC6_47EB_A0A5_286B7BC16316_.wvu.FilterData" localSheetId="0" hidden="1">現在!$A$5:$GG$7</definedName>
    <definedName name="Z_5090AE7B_83D6_4D6B_8821_C4B9317E1B5F_.wvu.FilterData" localSheetId="0" hidden="1">現在!$A$5:$GG$7</definedName>
    <definedName name="Z_5095E7E2_4FE2_40E1_A348_9976EAFAF6F1_.wvu.FilterData" localSheetId="0" hidden="1">現在!$A$5:$GG$7</definedName>
    <definedName name="Z_50D0BE44_14B7_47F1_8020_7789E22736E9_.wvu.FilterData" localSheetId="0" hidden="1">現在!$A$5:$GG$6</definedName>
    <definedName name="Z_5105CE5E_718B_47A1_9716_C8390BB0C3C2_.wvu.FilterData" localSheetId="0" hidden="1">現在!$A$5:$GG$7</definedName>
    <definedName name="Z_51486B29_A44A_4E77_8DF7_74E57269AE9C_.wvu.FilterData" localSheetId="0" hidden="1">現在!$A$4:$GG$7</definedName>
    <definedName name="Z_51682DE1_9335_4F6D_A1D5_1CCF4F234BBE_.wvu.FilterData" localSheetId="0" hidden="1">現在!$A$5:$GG$6</definedName>
    <definedName name="Z_51EF5513_17BD_4B80_87CA_AE27A99B0BF5_.wvu.FilterData" localSheetId="0" hidden="1">現在!$A$5:$AB$6</definedName>
    <definedName name="Z_52430922_1780_4518_A8CA_5FFFCB226A08_.wvu.FilterData" localSheetId="0" hidden="1">現在!$A$4:$GG$6</definedName>
    <definedName name="Z_525963E4_55FF_4A58_B462_784603F9E7E2_.wvu.FilterData" localSheetId="0" hidden="1">現在!$A$4:$GG$6</definedName>
    <definedName name="Z_525A9110_58AA_40D6_9226_D02224979FA6_.wvu.FilterData" localSheetId="0" hidden="1">現在!$A$5:$AB$7</definedName>
    <definedName name="Z_52AB0294_6A09_4187_8C87_FEDFE79FE754_.wvu.FilterData" localSheetId="0" hidden="1">現在!$A$5:$GG$6</definedName>
    <definedName name="Z_52B965AE_7E3A_495F_9D85_D1055C371443_.wvu.FilterData" localSheetId="0" hidden="1">現在!$W$5:$W$7</definedName>
    <definedName name="Z_52E0E3F4_827A_442B_A03C_8F83E4009902_.wvu.FilterData" localSheetId="0" hidden="1">現在!$A$5:$GG$6</definedName>
    <definedName name="Z_52EB1783_76A8_4D37_AE4B_C9DA3BDBC4B7_.wvu.FilterData" localSheetId="0" hidden="1">現在!$A$5:$AB$6</definedName>
    <definedName name="Z_52F247CB_A71E_4141_9228_6F4ED76B0C1E_.wvu.FilterData" localSheetId="0" hidden="1">現在!$A$4:$GG$6</definedName>
    <definedName name="Z_52F4FABA_48C3_441E_996F_80D383C0E010_.wvu.FilterData" localSheetId="0" hidden="1">現在!$A$5:$AB$6</definedName>
    <definedName name="Z_5322B7BE_E703_47F2_BE64_2CF7906AE1F3_.wvu.FilterData" localSheetId="0" hidden="1">現在!$A$4:$GG$7</definedName>
    <definedName name="Z_533D67CF_C5DC_4908_A640_74B471A5D799_.wvu.FilterData" localSheetId="0" hidden="1">現在!$A$5:$GG$6</definedName>
    <definedName name="Z_534DDFBA_2E7D_434B_959F_7516C6B470A5_.wvu.FilterData" localSheetId="0" hidden="1">現在!$A$5:$AB$6</definedName>
    <definedName name="Z_53676917_6C46_409F_8212_B5CA2AA24552_.wvu.FilterData" localSheetId="0" hidden="1">現在!$A$5:$GG$6</definedName>
    <definedName name="Z_5394AD66_9E9A_4195_A6E3_D068040A7141_.wvu.FilterData" localSheetId="0" hidden="1">現在!$A$4:$GG$7</definedName>
    <definedName name="Z_539D7786_EAF0_48D4_83A6_16E36EF413E5_.wvu.FilterData" localSheetId="0" hidden="1">現在!$A$6:$GG$7</definedName>
    <definedName name="Z_53B06804_6F0B_412F_9A85_74443DF6E2A2_.wvu.FilterData" localSheetId="0" hidden="1">現在!$A$6:$GG$7</definedName>
    <definedName name="Z_53CEB504_8D2A_4790_881E_6EFA91A60639_.wvu.FilterData" localSheetId="0" hidden="1">現在!$W$5:$W$7</definedName>
    <definedName name="Z_53FA80E5_0CAD_4240_9EC4_CBF4D00CC68C_.wvu.FilterData" localSheetId="0" hidden="1">現在!$A$5:$GG$6</definedName>
    <definedName name="Z_5404E569_D8D3_4F6B_B65D_C93CB21FD481_.wvu.FilterData" localSheetId="0" hidden="1">現在!$A$4:$GG$7</definedName>
    <definedName name="Z_543A4417_3B06_43C3_9045_FEB4EAA05803_.wvu.FilterData" localSheetId="0" hidden="1">現在!$A$5:$GG$6</definedName>
    <definedName name="Z_543D9247_8BF8_4D40_8C4A_29CD30E86666_.wvu.FilterData" localSheetId="0" hidden="1">現在!$A$5:$GG$6</definedName>
    <definedName name="Z_54439133_8213_484E_9E74_29D94C1883B3_.wvu.FilterData" localSheetId="0" hidden="1">現在!$G$5:$GG$7</definedName>
    <definedName name="Z_547A2110_5416_401D_AC2E_6DB94EE7298A_.wvu.FilterData" localSheetId="0" hidden="1">現在!$A$5:$AB$6</definedName>
    <definedName name="Z_5494F1C9_5B0E_4571_9A20_025A773E8D56_.wvu.FilterData" localSheetId="0" hidden="1">現在!$A$5:$GG$6</definedName>
    <definedName name="Z_549F30A2_4B17_48B5_8137_83E3629F0F0E_.wvu.FilterData" localSheetId="0" hidden="1">現在!$A$4:$GG$7</definedName>
    <definedName name="Z_54A45AAA_435E_4D29_BFC6_9A0B84C5C84C_.wvu.FilterData" localSheetId="0" hidden="1">現在!$A$4:$GG$6</definedName>
    <definedName name="Z_54F23DF5_3654_43AD_8899_D182605E938F_.wvu.FilterData" localSheetId="0" hidden="1">現在!$A$5:$GG$7</definedName>
    <definedName name="Z_54F39596_64A7_4F61_827C_32EE8FB97C3B_.wvu.FilterData" localSheetId="0" hidden="1">現在!$A$5:$GG$7</definedName>
    <definedName name="Z_55249A43_B56D_4141_800D_0CEEE4EC4B10_.wvu.FilterData" localSheetId="0" hidden="1">現在!$A$5:$GG$7</definedName>
    <definedName name="Z_558F17A2_6915_4BE5_A936_1F3820866B22_.wvu.FilterData" localSheetId="0" hidden="1">現在!$A$5:$GG$7</definedName>
    <definedName name="Z_559313AF_43A5_47C2_BB63_304DD10DE499_.wvu.FilterData" localSheetId="0" hidden="1">現在!$A$5:$GG$7</definedName>
    <definedName name="Z_55E4749B_310A_4CE5_A9B8_02FED2550F3D_.wvu.FilterData" localSheetId="0" hidden="1">現在!$A$5:$AB$6</definedName>
    <definedName name="Z_5645093D_AEBA_434E_89DD_DFF6E0A40FE4_.wvu.FilterData" localSheetId="0" hidden="1">現在!$A$4:$GG$7</definedName>
    <definedName name="Z_564C7640_E6CF_4719_984F_36CF3BA59CD2_.wvu.FilterData" localSheetId="0" hidden="1">現在!$A$5:$GG$7</definedName>
    <definedName name="Z_5693CA97_DE3E_4A24_829D_F24D5E3EC91A_.wvu.FilterData" localSheetId="0" hidden="1">現在!$A$5:$GG$6</definedName>
    <definedName name="Z_56A803DD_0B8B_422F_818A_7CDA34A94C98_.wvu.FilterData" localSheetId="0" hidden="1">現在!$G$5:$GG$7</definedName>
    <definedName name="Z_56B07292_1B9C_40B1_AAA5_483872E64F84_.wvu.FilterData" localSheetId="0" hidden="1">現在!$A$5:$AB$63609</definedName>
    <definedName name="Z_56D6A0C8_7CD3_4766_8533_8ED933201959_.wvu.FilterData" localSheetId="0" hidden="1">現在!$A$6:$GG$7</definedName>
    <definedName name="Z_56E6CC19_E406_4A86_B07E_BF7B6796D3C3_.wvu.FilterData" localSheetId="0" hidden="1">現在!$A$5:$GG$6</definedName>
    <definedName name="Z_571CFD15_0A9A_4274_A88F_E97029F67533_.wvu.FilterData" localSheetId="0" hidden="1">現在!$A$6:$GG$7</definedName>
    <definedName name="Z_572AA911_90EB_4D84_A6BB_2FCA42DA1C93_.wvu.FilterData" localSheetId="0" hidden="1">現在!$A$5:$GG$6</definedName>
    <definedName name="Z_57354C34_1F62_4539_8041_E124702500F6_.wvu.FilterData" localSheetId="0" hidden="1">現在!$A$5:$AB$6</definedName>
    <definedName name="Z_576389D6_CA7A_46CA_9781_4BFF0FEF8345_.wvu.FilterData" localSheetId="0" hidden="1">現在!$A$5:$GG$6</definedName>
    <definedName name="Z_576C5776_AA3B_43D4_A6F7_9A38A295E28A_.wvu.FilterData" localSheetId="0" hidden="1">現在!$A$5:$GG$7</definedName>
    <definedName name="Z_57886BCF_B169_4C5D_8445_3DEE3E2CC4D9_.wvu.FilterData" localSheetId="0" hidden="1">現在!$A$5:$AB$7</definedName>
    <definedName name="Z_57AA5111_AA0B_441A_B94D_1A2FEF79E0DE_.wvu.FilterData" localSheetId="0" hidden="1">現在!$A$4:$GG$7</definedName>
    <definedName name="Z_57C2EB73_DEF5_40B1_8144_C6BECF7FC308_.wvu.FilterData" localSheetId="0" hidden="1">現在!$A$5:$GG$6</definedName>
    <definedName name="Z_57D38A8F_B7BA_4DD7_9171_9EF69864A41F_.wvu.FilterData" localSheetId="0" hidden="1">現在!$A$5:$GG$6</definedName>
    <definedName name="Z_583442E4_FC8C_4DA7_AC23_54A76C8D80CD_.wvu.FilterData" localSheetId="0" hidden="1">現在!$W$6:$Z$6</definedName>
    <definedName name="Z_583EE2B4_B154_49C7_A03F_A91865825AD3_.wvu.FilterData" localSheetId="0" hidden="1">現在!$A$5:$GG$7</definedName>
    <definedName name="Z_58497F03_DB52_4C7F_93A6_0EDF90207763_.wvu.FilterData" localSheetId="0" hidden="1">現在!$A$5:$GG$7</definedName>
    <definedName name="Z_585473A7_7E0A_4781_A80C_6EECA0CDA607_.wvu.FilterData" localSheetId="0" hidden="1">現在!$A$4:$GG$7</definedName>
    <definedName name="Z_5887398B_62C5_41C3_86C9_C08214BF88CC_.wvu.FilterData" localSheetId="0" hidden="1">現在!$A$6:$GG$7</definedName>
    <definedName name="Z_588F2742_0DE9_43AF_A7B0_E98419C9F2B2_.wvu.FilterData" localSheetId="0" hidden="1">現在!$A$5:$GG$7</definedName>
    <definedName name="Z_58B9332F_C953_42AF_8D9B_587E74A7DAD5_.wvu.FilterData" localSheetId="0" hidden="1">現在!$A$5:$GG$7</definedName>
    <definedName name="Z_58C64564_E638_41CA_875C_106D9D5C2227_.wvu.FilterData" localSheetId="0" hidden="1">現在!$A$4:$GG$6</definedName>
    <definedName name="Z_58C6BA85_BF90_4703_A1E1_0270664EC515_.wvu.FilterData" localSheetId="0" hidden="1">現在!$A$5:$GG$6</definedName>
    <definedName name="Z_58F8DD87_CABA_4782_98C7_BA43CD3C1F06_.wvu.FilterData" localSheetId="0" hidden="1">現在!$W$5:$W$91</definedName>
    <definedName name="Z_59132A67_E5C7_47C0_9E70_2D9E39F9C1DA_.wvu.FilterData" localSheetId="0" hidden="1">現在!$A$5:$AB$6</definedName>
    <definedName name="Z_592BC5BE_BC3C_4832_B7FC_E75A9D71B03A_.wvu.FilterData" localSheetId="0" hidden="1">現在!$A$4:$GG$7</definedName>
    <definedName name="Z_593A0A43_FCBD_48E8_B236_0F1533A6A0A2_.wvu.FilterData" localSheetId="0" hidden="1">現在!$G$5:$GG$7</definedName>
    <definedName name="Z_593F08F7_EEF8_4095_B862_5BC246CF1977_.wvu.FilterData" localSheetId="0" hidden="1">現在!$A$5:$GG$6</definedName>
    <definedName name="Z_595C31C7_7012_469A_BAC0_931A1A131DEC_.wvu.FilterData" localSheetId="0" hidden="1">現在!$A$5:$GG$6</definedName>
    <definedName name="Z_596BC0C8_FD16_402A_A7D1_050688C6764B_.wvu.FilterData" localSheetId="0" hidden="1">現在!$A$4:$GG$7</definedName>
    <definedName name="Z_59B41754_1F1B_41B6_A1F4_F43E6E8B9B20_.wvu.FilterData" localSheetId="0" hidden="1">現在!$A$5:$GG$6</definedName>
    <definedName name="Z_59C93B3A_C6F9_43B3_95C3_5B03508004EA_.wvu.FilterData" localSheetId="0" hidden="1">現在!$A$5:$GG$7</definedName>
    <definedName name="Z_59E1CEBD_00C6_48ED_89F8_BCCB03E4D5F9_.wvu.FilterData" localSheetId="0" hidden="1">現在!$A$5:$GG$6</definedName>
    <definedName name="Z_59EBC153_66E4_48CA_8CD6_F75330DEC71C_.wvu.FilterData" localSheetId="0" hidden="1">現在!$A$5:$GG$7</definedName>
    <definedName name="Z_59F6F99E_DD22_42BD_B24D_15F9EDDAE937_.wvu.FilterData" localSheetId="0" hidden="1">現在!$A$5:$GG$7</definedName>
    <definedName name="Z_5A0F56B2_8384_413F_81FB_98BDD100EED9_.wvu.FilterData" localSheetId="0" hidden="1">現在!$A$5:$GG$7</definedName>
    <definedName name="Z_5A1DC1F5_6386_41E9_9CC3_9FC4BC3FA00D_.wvu.FilterData" localSheetId="0" hidden="1">現在!$W$5:$W$7</definedName>
    <definedName name="Z_5A267F6A_6D73_4364_877A_DE9C5235456F_.wvu.FilterData" localSheetId="0" hidden="1">現在!$A$5:$GG$6</definedName>
    <definedName name="Z_5A595DD6_35B2_4272_AA74_8C5BA40CF7AC_.wvu.FilterData" localSheetId="0" hidden="1">現在!$A$5:$AB$6</definedName>
    <definedName name="Z_5A7AEF38_34B1_4E0C_98CA_28B838E71620_.wvu.FilterData" localSheetId="0" hidden="1">現在!$A$4:$GG$7</definedName>
    <definedName name="Z_5A8A1BD2_67C2_4DC5_955C_481D8C6EEB65_.wvu.FilterData" localSheetId="0" hidden="1">現在!$A$5:$GG$7</definedName>
    <definedName name="Z_5ACCC7F4_7EB5_42CA_A4BE_D6814315AD22_.wvu.FilterData" localSheetId="0" hidden="1">現在!$A$6:$GG$7</definedName>
    <definedName name="Z_5ADEE015_85D4_4889_8D02_3E5E63CE3223_.wvu.FilterData" localSheetId="0" hidden="1">現在!$A$5:$AB$7</definedName>
    <definedName name="Z_5B22851A_9BDF_4419_89F1_14B6ED5C60D2_.wvu.FilterData" localSheetId="0" hidden="1">現在!$A$5:$GG$7</definedName>
    <definedName name="Z_5B2D792F_E45D_4C45_999F_0004303AD3F6_.wvu.FilterData" localSheetId="0" hidden="1">現在!$A$5:$GG$7</definedName>
    <definedName name="Z_5B8A7DCB_E25D_446F_8BB7_FA5F9F12FD1B_.wvu.FilterData" localSheetId="0" hidden="1">現在!$A$5:$GG$7</definedName>
    <definedName name="Z_5BA21520_A925_4CD1_A10D_750B1A1CC857_.wvu.FilterData" localSheetId="0" hidden="1">現在!$A$5:$GG$7</definedName>
    <definedName name="Z_5BAFFAAE_2B3E_4A23_BBD7_3C837C939063_.wvu.FilterData" localSheetId="0" hidden="1">現在!$A$5:$AB$7</definedName>
    <definedName name="Z_5BC1BAE5_3EAF_45AD_8DCE_47933C1D44D7_.wvu.FilterData" localSheetId="0" hidden="1">現在!$A$5:$GG$7</definedName>
    <definedName name="Z_5BC8E5E7_2998_480E_B022_A9DCFCF387E6_.wvu.FilterData" localSheetId="0" hidden="1">現在!$A$5:$GG$6</definedName>
    <definedName name="Z_5BFC6D36_D38D_4AFC_8909_33070F332916_.wvu.FilterData" localSheetId="0" hidden="1">現在!$A$5:$AB$6</definedName>
    <definedName name="Z_5C064E76_1B50_42B3_B6BE_275AEDC87BDF_.wvu.FilterData" localSheetId="0" hidden="1">現在!$A$5:$AB$7</definedName>
    <definedName name="Z_5C26EC54_CEB7_45F2_8D92_4F1D6454A0A5_.wvu.FilterData" localSheetId="0" hidden="1">現在!$A$5:$GG$7</definedName>
    <definedName name="Z_5C35308D_F962_4BB0_9803_5CC0634CE037_.wvu.FilterData" localSheetId="0" hidden="1">現在!$A$5:$GG$6</definedName>
    <definedName name="Z_5C451E1E_A545_4EAA_AB4B_6CB4C4CD3ECD_.wvu.FilterData" localSheetId="0" hidden="1">現在!$A$4:$GG$7</definedName>
    <definedName name="Z_5C960D0E_C2EB_4638_A333_35491A62F851_.wvu.FilterData" localSheetId="0" hidden="1">現在!$A$6:$GG$7</definedName>
    <definedName name="Z_5CBEAC0F_3D78_4DB2_9740_28943B61988A_.wvu.FilterData" localSheetId="0" hidden="1">現在!$A$5:$AB$6</definedName>
    <definedName name="Z_5CDFC65B_AECB_46F8_B7DF_96E2291CB9E5_.wvu.FilterData" localSheetId="0" hidden="1">現在!$A$5:$GG$6</definedName>
    <definedName name="Z_5CEDEA4D_51CC_41CC_902B_FF594F3F1BDC_.wvu.FilterData" localSheetId="1" hidden="1">休日設定!$A$1:$B$77</definedName>
    <definedName name="Z_5CF783C4_F6E2_4B94_8995_73D5557A953A_.wvu.FilterData" localSheetId="0" hidden="1">現在!$A$5:$GH$6</definedName>
    <definedName name="Z_5D0D6A97_3882_48CA_A3E4_17CF78893274_.wvu.FilterData" localSheetId="0" hidden="1">現在!$A$5:$GG$6</definedName>
    <definedName name="Z_5D1507B9_7A19_44A2_BDF9_1F11C0A98BDF_.wvu.FilterData" localSheetId="0" hidden="1">現在!$A$6:$GG$7</definedName>
    <definedName name="Z_5D1D1D6C_9F25_447D_BB9A_7E4DA3EC5730_.wvu.FilterData" localSheetId="0" hidden="1">現在!$A$5:$AB$6</definedName>
    <definedName name="Z_5D2FAA5F_2F60_455A_9C79_C9E6643124A0_.wvu.FilterData" localSheetId="0" hidden="1">現在!$A$4:$GG$7</definedName>
    <definedName name="Z_5D48CD37_6D6D_48FA_A90C_419FEE4B8597_.wvu.FilterData" localSheetId="0" hidden="1">現在!$A$5:$AB$6</definedName>
    <definedName name="Z_5D5B8845_27DA_43A6_B757_D16D0FF6F4AD_.wvu.FilterData" localSheetId="0" hidden="1">現在!$A$5:$GH$6</definedName>
    <definedName name="Z_5D805B01_AA2A_4892_9D04_78C5223AD19B_.wvu.FilterData" localSheetId="0" hidden="1">現在!$A$5:$GG$7</definedName>
    <definedName name="Z_5D8A1943_E779_4D5E_95EE_CE9D420F0854_.wvu.FilterData" localSheetId="0" hidden="1">現在!$A$5:$GG$6</definedName>
    <definedName name="Z_5D8DB1A7_9CD8_4784_BB83_0E9B64F76997_.wvu.FilterData" localSheetId="0" hidden="1">現在!$A$5:$GG$6</definedName>
    <definedName name="Z_5DA09460_5B04_4C32_A32F_D2B06140CF46_.wvu.FilterData" localSheetId="0" hidden="1">現在!$A$6:$GG$7</definedName>
    <definedName name="Z_5DF93269_E778_4D4E_B7C7_5890DA2734BF_.wvu.FilterData" localSheetId="0" hidden="1">現在!$A$5:$GG$7</definedName>
    <definedName name="Z_5E15CBF4_494F_45B7_8540_144CD1502230_.wvu.FilterData" localSheetId="0" hidden="1">現在!$A$5:$GG$7</definedName>
    <definedName name="Z_5E1AD538_490A_47FE_A7C5_51E4FB8D44B1_.wvu.FilterData" localSheetId="0" hidden="1">現在!$A$5:$AB$6</definedName>
    <definedName name="Z_5E4D6B95_FCB7_4D1A_88DA_7837ABD68746_.wvu.FilterData" localSheetId="0" hidden="1">現在!$A$5:$GG$6</definedName>
    <definedName name="Z_5E853703_DC18_4E5B_9829_5FB2B59EE45A_.wvu.FilterData" localSheetId="0" hidden="1">現在!$A$5:$GG$6</definedName>
    <definedName name="Z_5E8B5668_9311_40A5_A13A_9ECA6494F425_.wvu.FilterData" localSheetId="0" hidden="1">現在!$A$5:$AB$6</definedName>
    <definedName name="Z_5EB575A4_02AC_49B9_AF18_EE6346339A35_.wvu.FilterData" localSheetId="0" hidden="1">現在!$A$5:$GG$7</definedName>
    <definedName name="Z_5ECB6F1E_F27B_4AB9_B275_8A387D2FBE21_.wvu.FilterData" localSheetId="0" hidden="1">現在!$A$5:$GG$6</definedName>
    <definedName name="Z_5EF5A972_E2E4_486F_AAE9_706DF876B48E_.wvu.FilterData" localSheetId="1" hidden="1">休日設定!$A$1:$B$77</definedName>
    <definedName name="Z_5EF5A972_E2E4_486F_AAE9_706DF876B48E_.wvu.FilterData" localSheetId="0" hidden="1">現在!$A$5:$GG$6</definedName>
    <definedName name="Z_5F2DBDA4_253D_4F29_9B16_B2605DFC459B_.wvu.FilterData" localSheetId="0" hidden="1">現在!$A$5:$GG$6</definedName>
    <definedName name="Z_5F4CCD3F_752C_411A_8E43_61C8CEAB7585_.wvu.FilterData" localSheetId="0" hidden="1">現在!$A$5:$GG$6</definedName>
    <definedName name="Z_5F802B03_FDA6_4F1A_BE2D_DA7DA7D02A28_.wvu.FilterData" localSheetId="0" hidden="1">現在!$A$5:$AB$6</definedName>
    <definedName name="Z_5FBAE4A0_A63F_4FFC_99D5_1395F9295968_.wvu.FilterData" localSheetId="0" hidden="1">現在!$A$5:$GG$7</definedName>
    <definedName name="Z_5FD40825_E6CF_48CB_A476_3D3DAE839E17_.wvu.FilterData" localSheetId="0" hidden="1">現在!$A$5:$AB$6</definedName>
    <definedName name="Z_5FD6215F_91C9_4C4D_BFEC_561E3B20E775_.wvu.FilterData" localSheetId="0" hidden="1">現在!$A$5:$GG$6</definedName>
    <definedName name="Z_5FE7385E_5A87_4FF3_A2EF_A4EB58918878_.wvu.FilterData" localSheetId="0" hidden="1">現在!#REF!</definedName>
    <definedName name="Z_5FEC06FB_A518_45F3_8AAA_58CC19F7EE99_.wvu.FilterData" localSheetId="0" hidden="1">現在!$A$5:$GG$6</definedName>
    <definedName name="Z_5FEC75FD_6766_44A6_8EF0_80EA6D660A64_.wvu.FilterData" localSheetId="0" hidden="1">現在!$A$5:$GG$6</definedName>
    <definedName name="Z_5FECBAFA_025D_4344_ACE0_8B9AE5FBB2F5_.wvu.FilterData" localSheetId="0" hidden="1">現在!$A$4:$GG$6</definedName>
    <definedName name="Z_6041ACD3_E82E_43F7_8B1D_11B2BC7D57A4_.wvu.FilterData" localSheetId="0" hidden="1">現在!$A$4:$GG$7</definedName>
    <definedName name="Z_60442DF0_3B3F_45AF_AE38_04F93453F9DC_.wvu.FilterData" localSheetId="0" hidden="1">現在!$A$5:$GG$6</definedName>
    <definedName name="Z_604AB52D_DA0B_4234_AB27_CA8668D79048_.wvu.FilterData" localSheetId="0" hidden="1">現在!$A$5:$GG$6</definedName>
    <definedName name="Z_604C5948_6635_429D_AFD9_A7D348CEDA42_.wvu.FilterData" localSheetId="0" hidden="1">現在!$W$5:$W$7</definedName>
    <definedName name="Z_6064364F_543B_4115_A5FE_152B0CEB7307_.wvu.FilterData" localSheetId="0" hidden="1">現在!$A$5:$GG$6</definedName>
    <definedName name="Z_60AD604A_D206_486D_BE16_1E0618B456EE_.wvu.FilterData" localSheetId="0" hidden="1">現在!$A$5:$GG$6</definedName>
    <definedName name="Z_60D51D59_5CE3_4217_A038_BCEDA78ED6AA_.wvu.FilterData" localSheetId="0" hidden="1">現在!$A$5:$AB$6</definedName>
    <definedName name="Z_60F342CF_3FFE_41AE_AD5B_3B361E85A56D_.wvu.FilterData" localSheetId="0" hidden="1">現在!$A$5:$GG$7</definedName>
    <definedName name="Z_615AA668_BAE2_461D_89B7_AAAE1D50FCF5_.wvu.FilterData" localSheetId="0" hidden="1">現在!$A$4:$GG$7</definedName>
    <definedName name="Z_61C2FFDB_BE48_4EBD_84C3_2D73249614AF_.wvu.FilterData" localSheetId="0" hidden="1">現在!#REF!</definedName>
    <definedName name="Z_6202DAC6_4CE0_4538_B911_331A248C4028_.wvu.FilterData" localSheetId="0" hidden="1">現在!$A$5:$GG$6</definedName>
    <definedName name="Z_620B8315_6ECB_4275_A904_293673075243_.wvu.FilterData" localSheetId="0" hidden="1">現在!$A$5:$GG$7</definedName>
    <definedName name="Z_623335B5_3EFC_4052_9FD4_E6664F5B0BA8_.wvu.FilterData" localSheetId="0" hidden="1">現在!$A$5:$GG$7</definedName>
    <definedName name="Z_6237A29D_BA8E_4344_9F3C_FE83F363C9BC_.wvu.FilterData" localSheetId="0" hidden="1">現在!$A$5:$AB$6</definedName>
    <definedName name="Z_62530174_B5CE_4055_B89C_CF63E0ECE1B6_.wvu.FilterData" localSheetId="0" hidden="1">現在!$A$5:$GG$6</definedName>
    <definedName name="Z_625F5895_6E58_4E21_99E7_021BBCCDF0E2_.wvu.FilterData" localSheetId="0" hidden="1">現在!$A$5:$GG$6</definedName>
    <definedName name="Z_6266CF63_0E23_453C_AB25_D832A4938781_.wvu.FilterData" localSheetId="0" hidden="1">現在!$A$5:$GG$6</definedName>
    <definedName name="Z_6272BDA3_B57C_4B4B_A0A6_05383F6ECFD1_.wvu.FilterData" localSheetId="0" hidden="1">現在!$W$5:$W$91</definedName>
    <definedName name="Z_628ED383_BBE3_4137_B6F5_ACD3E471374C_.wvu.FilterData" localSheetId="0" hidden="1">現在!$A$4:$GG$7</definedName>
    <definedName name="Z_62944438_ADEA_47B0_B76E_1F282A0A4F37_.wvu.FilterData" localSheetId="0" hidden="1">現在!$A$5:$GG$6</definedName>
    <definedName name="Z_630A4CA9_1C70_4F6D_B97F_0F914A8BBA25_.wvu.FilterData" localSheetId="0" hidden="1">現在!$G$5:$GG$7</definedName>
    <definedName name="Z_632094EC_C53B_4B92_95D6_2F84D92F2901_.wvu.FilterData" localSheetId="0" hidden="1">現在!$A$6:$GG$7</definedName>
    <definedName name="Z_63392F2B_D31C_43A5_84B9_027275F3DD8E_.wvu.FilterData" localSheetId="0" hidden="1">現在!$A$5:$GG$6</definedName>
    <definedName name="Z_634315AB_A2A6_420B_BC49_3794C4FE0D66_.wvu.FilterData" localSheetId="0" hidden="1">現在!$A$5:$GG$6</definedName>
    <definedName name="Z_635B20DE_42F5_4003_AA4B_05E0A1BCE266_.wvu.FilterData" localSheetId="0" hidden="1">現在!$A$5:$GG$6</definedName>
    <definedName name="Z_636BDD23_E66C_492D_BD1B_6B95E854A1E8_.wvu.FilterData" localSheetId="0" hidden="1">現在!$A$5:$GG$6</definedName>
    <definedName name="Z_636C5821_282D_423F_9A02_BDC6AA1D8AA9_.wvu.FilterData" localSheetId="0" hidden="1">現在!$A$5:$GG$7</definedName>
    <definedName name="Z_6377EA1E_EEF3_4B0E_8E30_E6B27FB380C1_.wvu.FilterData" localSheetId="0" hidden="1">現在!$A$5:$GG$7</definedName>
    <definedName name="Z_6388FE62_C2FE_4CDB_A42C_466433A996E1_.wvu.FilterData" localSheetId="0" hidden="1">現在!$A$5:$GG$7</definedName>
    <definedName name="Z_63B1DAD6_8FD2_4C59_BEE0_CCECC75788B6_.wvu.FilterData" localSheetId="0" hidden="1">現在!$A$5:$AB$6</definedName>
    <definedName name="Z_63DFBF6D_2F26_453C_9704_2780A757057B_.wvu.FilterData" localSheetId="0" hidden="1">現在!$A$5:$GG$6</definedName>
    <definedName name="Z_6402AABC_01B5_4E92_8B9B_5477F165FCBA_.wvu.FilterData" localSheetId="0" hidden="1">現在!$A$5:$GG$7</definedName>
    <definedName name="Z_6410E1B7_FE75_412B_8D86_24086740405B_.wvu.FilterData" localSheetId="0" hidden="1">現在!$A$4:$GG$7</definedName>
    <definedName name="Z_64256673_624E_460C_A0BB_97B4A8A45786_.wvu.FilterData" localSheetId="0" hidden="1">現在!$A$5:$GG$7</definedName>
    <definedName name="Z_6439A936_62DE_436C_8E9C_A69BE965804F_.wvu.FilterData" localSheetId="0" hidden="1">現在!$G$5:$GG$7</definedName>
    <definedName name="Z_648A59FD_115E_403B_A7E3_E02FC09E3563_.wvu.FilterData" localSheetId="0" hidden="1">現在!$G$5:$GG$7</definedName>
    <definedName name="Z_64B340D4_4941_45CA_87FB_A98066367BBC_.wvu.FilterData" localSheetId="0" hidden="1">現在!$A$5:$AB$6</definedName>
    <definedName name="Z_64CB76E6_7E54_448E_9D47_968E49E04B5E_.wvu.FilterData" localSheetId="0" hidden="1">現在!$A$5:$GG$6</definedName>
    <definedName name="Z_64F804E2_E9DA_49D8_9819_618C24BA1030_.wvu.FilterData" localSheetId="0" hidden="1">現在!$A$4:$GG$7</definedName>
    <definedName name="Z_652B9E30_9808_42EC_B941_C69A96A554AE_.wvu.FilterData" localSheetId="0" hidden="1">現在!$A$5:$AB$6</definedName>
    <definedName name="Z_65365FEB_1859_42B9_A83E_D3D97DD26E08_.wvu.FilterData" localSheetId="0" hidden="1">現在!$A$5:$GG$7</definedName>
    <definedName name="Z_65392BB8_9FEB_48F6_9C28_66E046127C3C_.wvu.FilterData" localSheetId="0" hidden="1">現在!$A$5:$GG$7</definedName>
    <definedName name="Z_653D49F2_1473_4337_874A_B57D8B55684B_.wvu.FilterData" localSheetId="0" hidden="1">現在!$A$5:$AB$7</definedName>
    <definedName name="Z_654D2BFB_5B66_4285_B51C_31255E7E322D_.wvu.FilterData" localSheetId="0" hidden="1">現在!$A$5:$GG$7</definedName>
    <definedName name="Z_6564A7C2_E814_4F5B_86D7_EFCDB97B8FA9_.wvu.FilterData" localSheetId="1" hidden="1">休日設定!$A$1:$B$77</definedName>
    <definedName name="Z_6564A7C2_E814_4F5B_86D7_EFCDB97B8FA9_.wvu.FilterData" localSheetId="0" hidden="1">現在!$A$5:$GG$7</definedName>
    <definedName name="Z_6565FD66_14A4_4A22_9605_862A454E1917_.wvu.FilterData" localSheetId="0" hidden="1">現在!$A$5:$GG$7</definedName>
    <definedName name="Z_65672CE2_F396_4B05_B1E4_82121C0D3713_.wvu.FilterData" localSheetId="0" hidden="1">現在!$A$5:$GG$7</definedName>
    <definedName name="Z_656ADF22_0674_4214_B746_FC8C1BA79F05_.wvu.FilterData" localSheetId="0" hidden="1">現在!$A$5:$GG$7</definedName>
    <definedName name="Z_6575129B_867D_4F6B_AD50_CE94850D258B_.wvu.FilterData" localSheetId="0" hidden="1">現在!$A$4:$GG$7</definedName>
    <definedName name="Z_65C73213_6BDB_4CAE_8A47_A35DEE74A71C_.wvu.FilterData" localSheetId="0" hidden="1">現在!$A$5:$AB$6</definedName>
    <definedName name="Z_65D329D1_1056_4223_AE20_3A9A27EA9285_.wvu.FilterData" localSheetId="0" hidden="1">現在!$A$5:$AB$6</definedName>
    <definedName name="Z_65E2DE9F_CC98_4EF7_A91F_016CFCC6CA10_.wvu.FilterData" localSheetId="0" hidden="1">現在!$A$5:$GG$7</definedName>
    <definedName name="Z_661253B3_A66B_4BD2_ABBF_0A71BD988FD7_.wvu.FilterData" localSheetId="0" hidden="1">現在!$A$5:$GG$6</definedName>
    <definedName name="Z_66309415_9CE2_4284_A3D0_C5D7B14B7FC5_.wvu.FilterData" localSheetId="0" hidden="1">現在!$A$5:$AB$6</definedName>
    <definedName name="Z_6646EB2B_332C_4128_8CD0_D7B5729829AA_.wvu.FilterData" localSheetId="0" hidden="1">現在!$A$5:$GG$6</definedName>
    <definedName name="Z_66CAD94D_C6B1_4BE7_9C22_E2D3314883B0_.wvu.FilterData" localSheetId="0" hidden="1">現在!$A$5:$AB$6</definedName>
    <definedName name="Z_67203C8A_B1ED_421D_9B91_2398CF55657E_.wvu.FilterData" localSheetId="0" hidden="1">現在!$A$5:$AB$6</definedName>
    <definedName name="Z_672C46C1_6176_4E2F_BBAC_67D56E106BBF_.wvu.FilterData" localSheetId="0" hidden="1">現在!$A$5:$GG$7</definedName>
    <definedName name="Z_6762BE64_E3F2_411B_983F_97CFE5A72974_.wvu.FilterData" localSheetId="0" hidden="1">現在!$A$5:$GG$7</definedName>
    <definedName name="Z_6779577C_1E49_47CD_95A4_8C1959307E96_.wvu.FilterData" localSheetId="0" hidden="1">現在!$A$5:$GH$5</definedName>
    <definedName name="Z_67890586_AF16_4640_AE32_A82E0E0DF254_.wvu.FilterData" localSheetId="0" hidden="1">現在!$A$5:$GG$7</definedName>
    <definedName name="Z_678CA6A3_FD82_4924_B09A_78B64801CEB7_.wvu.FilterData" localSheetId="0" hidden="1">現在!$A$5:$GG$6</definedName>
    <definedName name="Z_6799FD93_DF9C_4BD9_AA19_5579F7C0DDF8_.wvu.FilterData" localSheetId="0" hidden="1">現在!$A$5:$GG$7</definedName>
    <definedName name="Z_67AA39AF_29B9_4A48_B40F_BEA091369DE2_.wvu.FilterData" localSheetId="0" hidden="1">現在!$A$5:$GG$6</definedName>
    <definedName name="Z_67ABEAE2_C6B2_4488_AA57_0A9EE8F5552F_.wvu.FilterData" localSheetId="0" hidden="1">現在!$A$5:$GG$6</definedName>
    <definedName name="Z_67B9CFD5_DE15_4C24_8D1E_5E5CA84B1E58_.wvu.FilterData" localSheetId="0" hidden="1">現在!$A$5:$GG$7</definedName>
    <definedName name="Z_67C7DDF1_14D9_452D_AD18_C6D2A55BBC3C_.wvu.FilterData" localSheetId="0" hidden="1">現在!$A$5:$GG$7</definedName>
    <definedName name="Z_67CE5120_FB82_4164_9813_CF9A04E57439_.wvu.FilterData" localSheetId="0" hidden="1">現在!$A$5:$GG$6</definedName>
    <definedName name="Z_67E4688E_6024_4370_AB0A_41D07DC976CD_.wvu.FilterData" localSheetId="0" hidden="1">現在!$A$5:$GG$7</definedName>
    <definedName name="Z_67EBCE91_6595_4E2D_8745_25A8439B6106_.wvu.FilterData" localSheetId="0" hidden="1">現在!$A$4:$GG$7</definedName>
    <definedName name="Z_67F96D12_79C0_4E94_9A47_0BBA1ABE63E7_.wvu.FilterData" localSheetId="0" hidden="1">現在!$A$4:$GG$7</definedName>
    <definedName name="Z_67F9BC86_9AFE_4786_8526_EC6492D0F743_.wvu.FilterData" localSheetId="0" hidden="1">現在!$A$5:$GG$7</definedName>
    <definedName name="Z_685C0760_B3A4_4947_9E3E_4C5674B3AAA3_.wvu.FilterData" localSheetId="0" hidden="1">現在!$A$5:$GG$6</definedName>
    <definedName name="Z_68801312_D2FE_43A7_AEBA_7EEB50AE1341_.wvu.FilterData" localSheetId="0" hidden="1">現在!$A$5:$GG$6</definedName>
    <definedName name="Z_6897BD5C_9923_44DB_ADDE_FC02C19A34E8_.wvu.FilterData" localSheetId="0" hidden="1">現在!$A$5:$GG$7</definedName>
    <definedName name="Z_68A3D78A_29A7_452D_A2FD_6D779C5CD0D1_.wvu.FilterData" localSheetId="0" hidden="1">現在!$A$5:$GG$7</definedName>
    <definedName name="Z_68AA1B27_997E_4286_92AF_804D605774A3_.wvu.FilterData" localSheetId="0" hidden="1">現在!$A$5:$GG$7</definedName>
    <definedName name="Z_68ADF861_E5A3_4F82_93E4_8A81E6F063E9_.wvu.FilterData" localSheetId="0" hidden="1">現在!$A$5:$GG$7</definedName>
    <definedName name="Z_68B92586_8A3D_4FBB_A2EF_87A3AB05F310_.wvu.FilterData" localSheetId="0" hidden="1">現在!$A$4:$GG$7</definedName>
    <definedName name="Z_68BDF2F8_F550_4804_A34F_37FF2C9F220B_.wvu.FilterData" localSheetId="0" hidden="1">現在!$A$5:$AB$6</definedName>
    <definedName name="Z_68D8DA05_A4F3_4F79_91B3_76A7D5897478_.wvu.FilterData" localSheetId="0" hidden="1">現在!$A$5:$GG$6</definedName>
    <definedName name="Z_692538EE_75D7_4BDE_B1AC_D29160BF015F_.wvu.FilterData" localSheetId="0" hidden="1">現在!$A$5:$AB$6</definedName>
    <definedName name="Z_69403BE6_7F70_4FA7_914B_EFFEA99C0D5E_.wvu.FilterData" localSheetId="0" hidden="1">現在!$A$5:$GG$7</definedName>
    <definedName name="Z_69622AD5_250B_4973_A47B_5EE2E23321C2_.wvu.FilterData" localSheetId="0" hidden="1">現在!$A$5:$GG$6</definedName>
    <definedName name="Z_698E5089_342F_4DDB_A502_5104BFF29B60_.wvu.FilterData" localSheetId="0" hidden="1">現在!$A$5:$GG$7</definedName>
    <definedName name="Z_6997CD15_4F58_45D4_A456_2FA2E9038E1E_.wvu.FilterData" localSheetId="0" hidden="1">現在!$A$4:$GG$7</definedName>
    <definedName name="Z_699D304C_3C85_4B70_BA47_12F186AB562A_.wvu.FilterData" localSheetId="0" hidden="1">現在!$A$6:$GG$7</definedName>
    <definedName name="Z_69DED1FE_1776_42E2_9AA8_85372A87BF26_.wvu.FilterData" localSheetId="0" hidden="1">現在!$A$6:$GG$7</definedName>
    <definedName name="Z_69E17A6C_C244_41C6_A7BF_3D3E43238E7C_.wvu.FilterData" localSheetId="0" hidden="1">現在!$A$5:$GG$7</definedName>
    <definedName name="Z_69E5A7CD_EFA2_4E6E_B41F_90B1BC31EF03_.wvu.FilterData" localSheetId="1" hidden="1">休日設定!$A$1:$B$77</definedName>
    <definedName name="Z_69E5A7CD_EFA2_4E6E_B41F_90B1BC31EF03_.wvu.FilterData" localSheetId="0" hidden="1">現在!$W$5:$W$91</definedName>
    <definedName name="Z_69E953B2_E934_4ADF_A1E3_CC27639E6FD1_.wvu.FilterData" localSheetId="0" hidden="1">現在!$A$5:$AB$6</definedName>
    <definedName name="Z_69EB98D8_3129_479F_AB0D_9B0EF9A8F1C0_.wvu.FilterData" localSheetId="0" hidden="1">現在!$A$5:$GG$7</definedName>
    <definedName name="Z_6A1778E1_D2BB_4CF1_9045_533C9E4B11F1_.wvu.FilterData" localSheetId="0" hidden="1">現在!$A$5:$GG$7</definedName>
    <definedName name="Z_6A36CD78_E467_4ED4_8B3E_56388156A813_.wvu.FilterData" localSheetId="0" hidden="1">現在!$A$5:$GG$6</definedName>
    <definedName name="Z_6A6BCBB7_2E0D_4F3B_90B2_685305FFAEAF_.wvu.FilterData" localSheetId="0" hidden="1">現在!$A$5:$GG$7</definedName>
    <definedName name="Z_6A877504_CD48_4964_A21D_64838DBA955F_.wvu.FilterData" localSheetId="0" hidden="1">現在!$A$5:$GG$6</definedName>
    <definedName name="Z_6A9649BB_AA9C_406B_8A78_D5AD04E7A748_.wvu.FilterData" localSheetId="0" hidden="1">現在!$A$5:$GG$7</definedName>
    <definedName name="Z_6B206A82_F83A_482C_8592_88291AF4083C_.wvu.FilterData" localSheetId="0" hidden="1">現在!$A$5:$GG$6</definedName>
    <definedName name="Z_6B299C99_9985_4BB3_AD6E_5FA01C9D5988_.wvu.FilterData" localSheetId="0" hidden="1">現在!$A$4:$GG$7</definedName>
    <definedName name="Z_6B349430_9DDE_4968_8A0B_073C32ADF658_.wvu.FilterData" localSheetId="0" hidden="1">現在!$A$5:$GG$7</definedName>
    <definedName name="Z_6B477FE4_0A07_4E37_91DB_984C487D13D5_.wvu.FilterData" localSheetId="0" hidden="1">現在!$A$6:$GG$7</definedName>
    <definedName name="Z_6B670224_6384_409A_B7C6_F3B1D1AA5C3D_.wvu.FilterData" localSheetId="0" hidden="1">現在!$G$5:$GG$7</definedName>
    <definedName name="Z_6B700BB6_1D9C_4EFA_ADAA_FFEA77DF4712_.wvu.FilterData" localSheetId="0" hidden="1">現在!$A$5:$AB$7</definedName>
    <definedName name="Z_6B707794_31FC_4BC4_A871_A44F8240863C_.wvu.FilterData" localSheetId="0" hidden="1">現在!$A$5:$GG$6</definedName>
    <definedName name="Z_6BE9F51A_B1A5_4873_82C0_B2C449BDD9C5_.wvu.FilterData" localSheetId="0" hidden="1">現在!$H$6:$AB$6</definedName>
    <definedName name="Z_6C59922E_791C_4AA5_9F00_71F7995E3CD7_.wvu.FilterData" localSheetId="0" hidden="1">現在!$A$5:$GH$6</definedName>
    <definedName name="Z_6C6033A1_DB4E_433D_A7D0_7D453834B0F1_.wvu.FilterData" localSheetId="0" hidden="1">現在!$A$5:$GG$6</definedName>
    <definedName name="Z_6C914E19_7960_48EC_9A7B_7061AD2166EF_.wvu.FilterData" localSheetId="0" hidden="1">現在!$A$5:$GG$7</definedName>
    <definedName name="Z_6CBBB281_D49E_4844_A6B0_3F1CFEE52F20_.wvu.FilterData" localSheetId="0" hidden="1">現在!$A$5:$GG$6</definedName>
    <definedName name="Z_6CFBA3AF_ADD3_4A4B_87A8_71BDDB198487_.wvu.FilterData" localSheetId="0" hidden="1">現在!$A$5:$GG$6</definedName>
    <definedName name="Z_6D05ED5F_2AAA_4EAF_A6FE_A791375E335E_.wvu.FilterData" localSheetId="0" hidden="1">現在!$A$5:$GG$7</definedName>
    <definedName name="Z_6D130126_E614_47CB_9031_5862BD2F6B68_.wvu.FilterData" localSheetId="0" hidden="1">現在!$A$6:$GG$7</definedName>
    <definedName name="Z_6D34B8C6_D2C4_4EDF_9A1D_87D462AFD27A_.wvu.FilterData" localSheetId="0" hidden="1">現在!$A$5:$GG$7</definedName>
    <definedName name="Z_6D47F62D_BFC8_4E3D_9839_D0E3EDDF800F_.wvu.FilterData" localSheetId="0" hidden="1">現在!$A$5:$GG$6</definedName>
    <definedName name="Z_6DAABA69_EA8F_46F3_A130_076521AB61C3_.wvu.FilterData" localSheetId="0" hidden="1">現在!$A$5:$GG$7</definedName>
    <definedName name="Z_6DB6F68D_1922_4E95_84F8_4C524524B2F0_.wvu.FilterData" localSheetId="0" hidden="1">現在!$A$5:$AB$7</definedName>
    <definedName name="Z_6DD6966E_EF0B_4761_A43B_C9A317172C22_.wvu.FilterData" localSheetId="0" hidden="1">現在!$A$5:$GG$7</definedName>
    <definedName name="Z_6DEF1E19_A48A_4D69_805C_36600D03E39B_.wvu.FilterData" localSheetId="0" hidden="1">現在!$A$4:$GG$7</definedName>
    <definedName name="Z_6DF29FB5_5B4E_40B7_9D78_C10760FDB463_.wvu.FilterData" localSheetId="0" hidden="1">現在!$A$5:$GG$7</definedName>
    <definedName name="Z_6DF914A4_209D_494B_87BF_F521341937DF_.wvu.FilterData" localSheetId="0" hidden="1">現在!$A$5:$GG$7</definedName>
    <definedName name="Z_6E07D21B_E9FA_412D_A05D_D0220A7A2119_.wvu.FilterData" localSheetId="0" hidden="1">現在!$A$5:$GG$6</definedName>
    <definedName name="Z_6E6BF23D_141D_49B0_AA26_E8D38A695241_.wvu.FilterData" localSheetId="0" hidden="1">現在!$A$5:$GG$6</definedName>
    <definedName name="Z_6E7D6BA5_A959_4893_A6B1_A363F29EF7D0_.wvu.FilterData" localSheetId="0" hidden="1">現在!$A$5:$GG$7</definedName>
    <definedName name="Z_6EA1DBEA_C813_4960_862C_6D65EAC0746D_.wvu.FilterData" localSheetId="0" hidden="1">現在!$A$5:$GG$6</definedName>
    <definedName name="Z_6EC3F04D_2511_42CB_896D_5B511CA5DAC1_.wvu.FilterData" localSheetId="0" hidden="1">現在!$A$5:$GG$6</definedName>
    <definedName name="Z_6ECAC45D_4610_4500_BBF2_44F1168599C6_.wvu.FilterData" localSheetId="0" hidden="1">現在!$A$6:$GG$7</definedName>
    <definedName name="Z_6F3BA0C9_D376_4252_86F6_0EF567FFD7D4_.wvu.FilterData" localSheetId="0" hidden="1">現在!$W$5:$W$7</definedName>
    <definedName name="Z_6F506634_2D87_479D_9746_6AC286B75F42_.wvu.FilterData" localSheetId="0" hidden="1">現在!$A$5:$GG$6</definedName>
    <definedName name="Z_6F5ACB28_8DA8_4969_90E7_6B4E4FB5ABF8_.wvu.FilterData" localSheetId="0" hidden="1">現在!$A$5:$GG$6</definedName>
    <definedName name="Z_6FAD2D37_41E6_4638_876A_FB0B9BC3AB50_.wvu.FilterData" localSheetId="0" hidden="1">現在!$A$5:$GG$6</definedName>
    <definedName name="Z_7013056D_4131_4C7F_BB81_8536A6CC6998_.wvu.FilterData" localSheetId="0" hidden="1">現在!$A$5:$GG$6</definedName>
    <definedName name="Z_70509C53_EC24_44B5_8B24_40783EBDBE4C_.wvu.FilterData" localSheetId="0" hidden="1">現在!$A$5:$GG$7</definedName>
    <definedName name="Z_705B04E7_666C_481E_90C7_A7DBEAB60D8E_.wvu.FilterData" localSheetId="0" hidden="1">現在!$A$5:$GG$7</definedName>
    <definedName name="Z_7066A0C1_082A_4E05_A24C_37D7F2F71B15_.wvu.FilterData" localSheetId="0" hidden="1">現在!$A$5:$GG$7</definedName>
    <definedName name="Z_706A42D2_58B7_42E5_A724_D9616D28FDE9_.wvu.FilterData" localSheetId="0" hidden="1">現在!$A$5:$AB$5</definedName>
    <definedName name="Z_70718321_B992_4564_B7BB_EB88ABA0B771_.wvu.FilterData" localSheetId="0" hidden="1">現在!$A$5:$GG$7</definedName>
    <definedName name="Z_70901A06_7D59_4296_BD23_50ACDAD9756B_.wvu.FilterData" localSheetId="0" hidden="1">現在!$A$5:$GG$6</definedName>
    <definedName name="Z_70D35C80_0E6D_40C0_BAC4_68590026AC0D_.wvu.FilterData" localSheetId="0" hidden="1">現在!$A$5:$GG$6</definedName>
    <definedName name="Z_70D7F6AE_6052_468F_9F8B_92425B2684A7_.wvu.FilterData" localSheetId="0" hidden="1">現在!$A$5:$GG$7</definedName>
    <definedName name="Z_70F34EC4_58EE_49F5_9BC8_80EFA56E7BFE_.wvu.FilterData" localSheetId="0" hidden="1">現在!$A$5:$GG$6</definedName>
    <definedName name="Z_70FB72B9_31B7_4034_AA98_3A17D4913FFF_.wvu.FilterData" localSheetId="0" hidden="1">現在!$A$5:$GG$7</definedName>
    <definedName name="Z_710F0F99_5961_437A_82F3_290B4AD47CE8_.wvu.FilterData" localSheetId="0" hidden="1">現在!$A$5:$GG$6</definedName>
    <definedName name="Z_712DC873_6273_4A8A_9D82_D7FC489F4C4E_.wvu.FilterData" localSheetId="0" hidden="1">現在!$A$5:$GG$7</definedName>
    <definedName name="Z_712E8253_7273_44CB_827D_CE2078EEC696_.wvu.FilterData" localSheetId="0" hidden="1">現在!$A$5:$GG$6</definedName>
    <definedName name="Z_71A60717_9A53_473A_B418_1F073FA1E9B6_.wvu.FilterData" localSheetId="0" hidden="1">現在!$A$5:$AB$6</definedName>
    <definedName name="Z_71AB6FA5_7B1A_4373_9BC1_19AA3E968E75_.wvu.FilterData" localSheetId="0" hidden="1">現在!$A$5:$GH$6</definedName>
    <definedName name="Z_71C89075_C79E_42A0_BB16_3734FA342BDE_.wvu.FilterData" localSheetId="0" hidden="1">現在!$A$5:$GG$6</definedName>
    <definedName name="Z_71DAA23F_7CD3_4F06_AAB6_3CE21E6401F5_.wvu.FilterData" localSheetId="0" hidden="1">現在!#REF!</definedName>
    <definedName name="Z_72006EAE_3300_4E06_B45A_49312387AA42_.wvu.FilterData" localSheetId="0" hidden="1">現在!$A$4:$GG$7</definedName>
    <definedName name="Z_72578F63_7A88_4FA8_A513_FBD60A86A7C0_.wvu.FilterData" localSheetId="0" hidden="1">現在!$A$4:$GG$7</definedName>
    <definedName name="Z_7259C892_839E_4C0D_B440_50A06E123924_.wvu.FilterData" localSheetId="0" hidden="1">現在!$A$4:$GG$7</definedName>
    <definedName name="Z_72617F16_4860_41B2_B79C_C491F2A0037A_.wvu.FilterData" localSheetId="0" hidden="1">現在!$A$4:$GG$7</definedName>
    <definedName name="Z_72746006_79BE_434E_8086_C6AB5C5D2585_.wvu.FilterData" localSheetId="1" hidden="1">休日設定!$A$1:$B$77</definedName>
    <definedName name="Z_72746006_79BE_434E_8086_C6AB5C5D2585_.wvu.FilterData" localSheetId="0" hidden="1">現在!$W$5:$W$91</definedName>
    <definedName name="Z_72CEDB99_872C_4847_8093_BBBCE51F92A8_.wvu.FilterData" localSheetId="0" hidden="1">現在!$A$5:$GG$7</definedName>
    <definedName name="Z_72FC3C63_BD56_4DD4_9A3E_2DB4BBCF4F46_.wvu.FilterData" localSheetId="0" hidden="1">現在!$A$5:$AB$6</definedName>
    <definedName name="Z_730B6695_8648_441E_AD92_B445CBD5FFDE_.wvu.FilterData" localSheetId="0" hidden="1">現在!$A$5:$GG$6</definedName>
    <definedName name="Z_73254E05_DC30_4815_BD5C_0CC91199896F_.wvu.FilterData" localSheetId="0" hidden="1">現在!$H$6:$Z$6</definedName>
    <definedName name="Z_7396548D_3800_4BB0_9F18_C16F7AFDA59F_.wvu.FilterData" localSheetId="0" hidden="1">現在!$A$5:$AB$6</definedName>
    <definedName name="Z_73B26CA8_70C4_425D_93C9_1791F781B7A7_.wvu.FilterData" localSheetId="0" hidden="1">現在!$A$4:$GG$7</definedName>
    <definedName name="Z_73B5CE7D_E47D_42E9_8D2B_1FD289B6DF17_.wvu.FilterData" localSheetId="0" hidden="1">現在!$A$5:$GG$7</definedName>
    <definedName name="Z_73C3CC85_0068_4FCC_AAF3_207232D92A8E_.wvu.FilterData" localSheetId="0" hidden="1">現在!$A$5:$AB$6</definedName>
    <definedName name="Z_73CC18D0_EDC8_4FE7_B64F_3C4FBBC5FEB8_.wvu.FilterData" localSheetId="0" hidden="1">現在!$A$5:$GG$7</definedName>
    <definedName name="Z_73F5DE02_95D7_4A7F_8879_9142303BAC66_.wvu.FilterData" localSheetId="0" hidden="1">現在!$A$5:$GG$6</definedName>
    <definedName name="Z_7437D56E_9335_416A_B4D0_19C8FEEE3547_.wvu.FilterData" localSheetId="0" hidden="1">現在!$A$5:$GG$7</definedName>
    <definedName name="Z_744D2006_6B77_41C2_86AE_DF6AB8687157_.wvu.FilterData" localSheetId="0" hidden="1">現在!$A$5:$AB$6</definedName>
    <definedName name="Z_746205D0_A0D4_4D51_8D99_DA723A90093E_.wvu.FilterData" localSheetId="0" hidden="1">現在!$A$5:$GG$7</definedName>
    <definedName name="Z_74949E08_78E6_4496_A1A9_661B1FD332F6_.wvu.FilterData" localSheetId="0" hidden="1">現在!$A$5:$AB$6</definedName>
    <definedName name="Z_74A5E3CE_15E8_4CA5_BF49_BEDF396BB955_.wvu.FilterData" localSheetId="1" hidden="1">休日設定!$A$1:$B$77</definedName>
    <definedName name="Z_74A5E3CE_15E8_4CA5_BF49_BEDF396BB955_.wvu.FilterData" localSheetId="0" hidden="1">現在!$W$5:$W$7</definedName>
    <definedName name="Z_74B50C9C_2CA2_4BE9_B54E_303F5415DF4B_.wvu.FilterData" localSheetId="0" hidden="1">現在!$A$4:$GG$7</definedName>
    <definedName name="Z_74B90F30_FB21_41EF_8ABF_FC2B6E792AA1_.wvu.FilterData" localSheetId="0" hidden="1">現在!$A$5:$GG$7</definedName>
    <definedName name="Z_74BC9D2F_3482_4364_824C_BE4178CCD2C3_.wvu.FilterData" localSheetId="0" hidden="1">現在!$A$5:$GG$7</definedName>
    <definedName name="Z_74C6D349_6858_4CB3_8E0D_7396AC87C2B1_.wvu.FilterData" localSheetId="0" hidden="1">現在!$A$5:$AB$6</definedName>
    <definedName name="Z_74CF6206_4E96_4AA9_B7BF_2E9A4F191602_.wvu.FilterData" localSheetId="0" hidden="1">現在!$A$5:$GG$7</definedName>
    <definedName name="Z_74DA4660_B473_499F_B571_25A179227F00_.wvu.FilterData" localSheetId="0" hidden="1">現在!$A$5:$GG$6</definedName>
    <definedName name="Z_74E87783_909F_4FDC_9B2A_2B48CA6279E6_.wvu.FilterData" localSheetId="0" hidden="1">現在!$A$5:$AB$6</definedName>
    <definedName name="Z_7512A6BE_E2C9_4DC1_B044_84284A8CCF2C_.wvu.FilterData" localSheetId="0" hidden="1">現在!$A$5:$GG$7</definedName>
    <definedName name="Z_7518C37E_3057_4455_8852_5F6C445E8D92_.wvu.FilterData" localSheetId="0" hidden="1">現在!$A$5:$GG$6</definedName>
    <definedName name="Z_7530CA51_8D50_4D69_9186_10C23F41D2B6_.wvu.FilterData" localSheetId="0" hidden="1">現在!$A$5:$GG$6</definedName>
    <definedName name="Z_753D2021_0C63_4230_AD70_8E1C3BAFAABF_.wvu.FilterData" localSheetId="0" hidden="1">現在!$A$5:$GG$7</definedName>
    <definedName name="Z_756A00D1_0566_4345_91DF_0AC88204E386_.wvu.FilterData" localSheetId="0" hidden="1">現在!$A$5:$GG$7</definedName>
    <definedName name="Z_756F877A_66C5_48DA_A6BE_C3CE305C64D7_.wvu.FilterData" localSheetId="0" hidden="1">現在!$A$4:$GG$6</definedName>
    <definedName name="Z_7571ACD0_2883_4004_9E98_9EE16D86849E_.wvu.FilterData" localSheetId="0" hidden="1">現在!$A$5:$AB$6</definedName>
    <definedName name="Z_75C061E7_A2D5_4D8D_9F4B_F9420372D6EE_.wvu.FilterData" localSheetId="0" hidden="1">現在!$A$4:$GG$7</definedName>
    <definedName name="Z_75CCC1EF_BFA3_499A_9CE6_3C4A6D488E47_.wvu.FilterData" localSheetId="0" hidden="1">現在!$A$5:$GG$6</definedName>
    <definedName name="Z_75F868EA_1FFB_4F7F_9AEB_29474206DBAA_.wvu.FilterData" localSheetId="0" hidden="1">現在!$A$5:$GG$7</definedName>
    <definedName name="Z_761DE5C3_0165_4BBC_A0F4_8957B44F5FF6_.wvu.FilterData" localSheetId="0" hidden="1">現在!$A$6:$GG$7</definedName>
    <definedName name="Z_763D1498_342A_44A6_B499_7528EACD1729_.wvu.FilterData" localSheetId="0" hidden="1">現在!$A$5:$GG$7</definedName>
    <definedName name="Z_7653782D_4D02_4E26_8691_57B3668151D8_.wvu.FilterData" localSheetId="0" hidden="1">現在!$A$5:$AB$7</definedName>
    <definedName name="Z_7677C0E7_9F9E_4358_9DB9_BC03A413ED0F_.wvu.FilterData" localSheetId="0" hidden="1">現在!$A$5:$GG$6</definedName>
    <definedName name="Z_76A394A3_F63C_4683_B2E0_38E63512EF80_.wvu.FilterData" localSheetId="0" hidden="1">現在!$A$5:$GG$6</definedName>
    <definedName name="Z_771872F4_39D6_4258_B2D2_C8B9CA8C7DF3_.wvu.FilterData" localSheetId="0" hidden="1">現在!$W$6:$Z$6</definedName>
    <definedName name="Z_7719EFFC_F050_4D79_A539_DFF0BA8E2A0E_.wvu.FilterData" localSheetId="0" hidden="1">現在!$A$5:$GG$7</definedName>
    <definedName name="Z_77229FD7_C83C_4046_860E_1D4B5001612A_.wvu.FilterData" localSheetId="0" hidden="1">現在!$A$5:$GG$6</definedName>
    <definedName name="Z_772A6120_9FE7_4054_AE9E_28449B6A4FF5_.wvu.FilterData" localSheetId="0" hidden="1">現在!$A$4:$GG$7</definedName>
    <definedName name="Z_774CD2DC_979B_4EE4_8F27_74394797002D_.wvu.FilterData" localSheetId="0" hidden="1">現在!$A$5:$GG$6</definedName>
    <definedName name="Z_77626F5E_C501_4275_9873_3AAE957BE197_.wvu.FilterData" localSheetId="0" hidden="1">現在!$A$5:$AB$6</definedName>
    <definedName name="Z_77703DE0_DCC5_41E2_831F_D3E110F082C1_.wvu.FilterData" localSheetId="0" hidden="1">現在!$A$4:$GG$7</definedName>
    <definedName name="Z_77732E7E_2039_42F2_96BA_73CBE9CC149D_.wvu.FilterData" localSheetId="0" hidden="1">現在!$A$5:$GG$6</definedName>
    <definedName name="Z_77AAD592_7868_4ED6_9BC1_B00F047F0EBC_.wvu.FilterData" localSheetId="0" hidden="1">現在!$A$5:$GG$6</definedName>
    <definedName name="Z_77AF6958_81A0_4DC0_AFA4_8D4509EF500A_.wvu.FilterData" localSheetId="0" hidden="1">現在!$A$5:$GG$7</definedName>
    <definedName name="Z_77B07FF9_E213_49BB_B2D3_B43E58B5B13A_.wvu.FilterData" localSheetId="0" hidden="1">現在!$A$5:$AB$7</definedName>
    <definedName name="Z_77DA876C_B02A_4204_BE91_0075E8AA2083_.wvu.FilterData" localSheetId="0" hidden="1">現在!$A$5:$GG$7</definedName>
    <definedName name="Z_77EAB6FE_5AA5_4FC4_8D51_5C34D24AC18B_.wvu.FilterData" localSheetId="0" hidden="1">現在!$A$5:$GG$7</definedName>
    <definedName name="Z_77FD5E7E_236D_41FB_9AC1_0FC8F5108886_.wvu.FilterData" localSheetId="0" hidden="1">現在!$A$5:$AB$7</definedName>
    <definedName name="Z_78076424_C46C_4CAC_979D_703F82B739A3_.wvu.FilterData" localSheetId="0" hidden="1">現在!$A$5:$AB$6</definedName>
    <definedName name="Z_7822C882_4C6F_4FD8_9FB3_8B6F79158A28_.wvu.FilterData" localSheetId="0" hidden="1">現在!$A$5:$GG$7</definedName>
    <definedName name="Z_782AFE92_3B0C_4A33_8E61_7E99095F9CE3_.wvu.FilterData" localSheetId="0" hidden="1">現在!$W$5:$W$7</definedName>
    <definedName name="Z_7846F444_6FF2_4137_972F_2CA0ECC4B18B_.wvu.FilterData" localSheetId="0" hidden="1">現在!$A$5:$GG$7</definedName>
    <definedName name="Z_78503C55_87C8_4D83_841D_AC77AB451E5D_.wvu.FilterData" localSheetId="0" hidden="1">現在!$A$5:$GG$7</definedName>
    <definedName name="Z_78729B9E_3939_4459_8030_08DF51447100_.wvu.FilterData" localSheetId="0" hidden="1">現在!$A$5:$GG$6</definedName>
    <definedName name="Z_78B89BDA_6567_45D8_B340_10BEF9DB957C_.wvu.FilterData" localSheetId="0" hidden="1">現在!#REF!</definedName>
    <definedName name="Z_78B8E5A3_EAA7_45B1_9757_82BEF217ABED_.wvu.FilterData" localSheetId="0" hidden="1">現在!$A$5:$GG$6</definedName>
    <definedName name="Z_78F00FED_79FD_45AF_83B0_01641E65D3BE_.wvu.FilterData" localSheetId="0" hidden="1">現在!$A$5:$GG$7</definedName>
    <definedName name="Z_78F780E4_244D_41A3_BD5B_83AF3E6B887F_.wvu.FilterData" localSheetId="0" hidden="1">現在!$A$5:$GG$7</definedName>
    <definedName name="Z_79181FFA_F741_41B3_ACB1_243216C0125F_.wvu.FilterData" localSheetId="0" hidden="1">現在!$A$5:$AB$6</definedName>
    <definedName name="Z_79A1C5FA_5B60_475E_BCF2_5F7F0FF08920_.wvu.FilterData" localSheetId="0" hidden="1">現在!$A$4:$GG$7</definedName>
    <definedName name="Z_79DB9AF4_7527_47BA_A09E_A27D24ED4304_.wvu.FilterData" localSheetId="0" hidden="1">現在!$A$5:$GG$6</definedName>
    <definedName name="Z_79DC93F6_0344_4738_9908_F9EA5640CB45_.wvu.FilterData" localSheetId="0" hidden="1">現在!$A$5:$GG$7</definedName>
    <definedName name="Z_7A02BE1E_3E01_4307_92F2_EDFE286A2693_.wvu.FilterData" localSheetId="0" hidden="1">現在!$A$5:$GG$6</definedName>
    <definedName name="Z_7A3B17AA_DAFE_43B9_8AF2_10388DA1593B_.wvu.FilterData" localSheetId="0" hidden="1">現在!$A$6:$GG$7</definedName>
    <definedName name="Z_7A8FE40E_3EB4_4003_96C8_1C6B87D4D904_.wvu.FilterData" localSheetId="0" hidden="1">現在!$A$4:$GG$7</definedName>
    <definedName name="Z_7A993287_C9B9_439F_9FCF_627E450843A9_.wvu.FilterData" localSheetId="0" hidden="1">現在!$A$5:$GG$6</definedName>
    <definedName name="Z_7AD29180_D5C9_4C0E_B883_7F6060637A12_.wvu.FilterData" localSheetId="0" hidden="1">現在!$A$5:$GG$7</definedName>
    <definedName name="Z_7AD2D17A_CB8D_4C50_A311_077744613F29_.wvu.FilterData" localSheetId="0" hidden="1">現在!$A$5:$GG$7</definedName>
    <definedName name="Z_7AE1BFB8_14EF_420D_BD02_9F6152CCD953_.wvu.FilterData" localSheetId="0" hidden="1">現在!$A$5:$AB$6</definedName>
    <definedName name="Z_7B04CC04_529D_409C_B884_4A88C5B9ABC3_.wvu.FilterData" localSheetId="0" hidden="1">現在!$A$5:$GG$7</definedName>
    <definedName name="Z_7B4B30DF_AB4F_4A52_89D5_8077EB83A1B6_.wvu.FilterData" localSheetId="0" hidden="1">現在!$A$4:$GG$6</definedName>
    <definedName name="Z_7B540236_4E1A_4C40_96CD_619155949B90_.wvu.FilterData" localSheetId="0" hidden="1">現在!$A$5:$GG$7</definedName>
    <definedName name="Z_7BBEEACF_FC32_423A_A600_863D99559C2E_.wvu.FilterData" localSheetId="0" hidden="1">現在!$A$5:$GG$6</definedName>
    <definedName name="Z_7BF7E37D_1070_46CA_85B3_D12B14374EAC_.wvu.FilterData" localSheetId="0" hidden="1">現在!$A$5:$AB$6</definedName>
    <definedName name="Z_7C241FFB_F502_45B5_B1ED_5EC6BF4714B7_.wvu.FilterData" localSheetId="0" hidden="1">現在!$A$5:$GG$6</definedName>
    <definedName name="Z_7C3A7E61_386D_4BB6_A0CC_8EE44010D8F6_.wvu.FilterData" localSheetId="0" hidden="1">現在!$A$5:$GG$6</definedName>
    <definedName name="Z_7C4F7E34_A463_433C_99CE_A065335A81EA_.wvu.FilterData" localSheetId="0" hidden="1">現在!$A$5:$GG$7</definedName>
    <definedName name="Z_7C686593_FA1C_4768_AA2D_DA3CEE701729_.wvu.FilterData" localSheetId="0" hidden="1">現在!$A$5:$GG$7</definedName>
    <definedName name="Z_7C97E5ED_76E1_440E_A015_57DE8D80D2E4_.wvu.FilterData" localSheetId="0" hidden="1">現在!$A$5:$GG$7</definedName>
    <definedName name="Z_7CA54A63_A1C8_406E_B0BB_E03CA48F0730_.wvu.FilterData" localSheetId="0" hidden="1">現在!$A$5:$GG$6</definedName>
    <definedName name="Z_7CCD2645_993D_446D_9439_C530A53EEA23_.wvu.FilterData" localSheetId="0" hidden="1">現在!$W$6:$Z$6</definedName>
    <definedName name="Z_7CDADC8F_DBCC_4897_B483_F177D7B6373A_.wvu.FilterData" localSheetId="0" hidden="1">現在!$A$5:$GG$7</definedName>
    <definedName name="Z_7CF0E1C6_687D_47CF_878F_009951D107D3_.wvu.FilterData" localSheetId="0" hidden="1">現在!$A$5:$GG$7</definedName>
    <definedName name="Z_7D00B810_6FAA_4EF7_B90A_52DE75020BD7_.wvu.FilterData" localSheetId="0" hidden="1">現在!$A$4:$GG$7</definedName>
    <definedName name="Z_7D087208_9AFF_461A_8EFD_9F1AC42002FD_.wvu.FilterData" localSheetId="0" hidden="1">現在!$A$5:$GG$6</definedName>
    <definedName name="Z_7DDF3B9D_B920_47BA_B104_55D0A8A237E3_.wvu.FilterData" localSheetId="0" hidden="1">現在!$A$5:$GH$6</definedName>
    <definedName name="Z_7E059CED_0CCF_4EBA_9C4D_AE0C585D01DE_.wvu.FilterData" localSheetId="0" hidden="1">現在!$A$5:$AB$6</definedName>
    <definedName name="Z_7E33FB9C_4988_4349_AA55_2AD6FFB20EA2_.wvu.FilterData" localSheetId="0" hidden="1">現在!$A$5:$AB$7</definedName>
    <definedName name="Z_7E69BB3F_FF46_4BCD_A149_AD6C8CFF56B2_.wvu.FilterData" localSheetId="0" hidden="1">現在!$A$4:$GG$7</definedName>
    <definedName name="Z_7ED16E23_79AD_4B02_A8C9_93004E7AD263_.wvu.FilterData" localSheetId="0" hidden="1">現在!$A$5:$GG$7</definedName>
    <definedName name="Z_7ED25131_BC3D_4474_9282_61D92888BF7C_.wvu.FilterData" localSheetId="0" hidden="1">現在!$A$5:$GG$7</definedName>
    <definedName name="Z_7EF399A2_2BB6_4D3C_BE42_7C9A4515DDDE_.wvu.FilterData" localSheetId="1" hidden="1">休日設定!$A$1:$B$77</definedName>
    <definedName name="Z_7EF399A2_2BB6_4D3C_BE42_7C9A4515DDDE_.wvu.FilterData" localSheetId="0" hidden="1">現在!$A$5:$GG$7</definedName>
    <definedName name="Z_7F0D8825_3416_4301_B562_1485559119AC_.wvu.FilterData" localSheetId="0" hidden="1">現在!$A$5:$GH$6</definedName>
    <definedName name="Z_7F4C1C1D_210A_4071_96A4_AD9A6945BCB3_.wvu.FilterData" localSheetId="0" hidden="1">現在!$A$4:$GG$7</definedName>
    <definedName name="Z_7F7097BD_7B50_475C_9BCC_1EB11C165134_.wvu.FilterData" localSheetId="0" hidden="1">現在!$A$5:$GG$7</definedName>
    <definedName name="Z_7F978379_6CD0_45F3_8A7B_39A08428B12C_.wvu.FilterData" localSheetId="0" hidden="1">現在!$A$5:$GG$6</definedName>
    <definedName name="Z_7FA0AF0C_DFC9_4195_BEE7_26C1B1AB52F5_.wvu.FilterData" localSheetId="0" hidden="1">現在!$A$5:$GG$7</definedName>
    <definedName name="Z_7FA9F13D_35C5_4860_86AE_74ED35A941CC_.wvu.FilterData" localSheetId="0" hidden="1">現在!#REF!</definedName>
    <definedName name="Z_7FD4A398_4D6B_43FE_9690_9F07085F57AD_.wvu.FilterData" localSheetId="0" hidden="1">現在!$A$5:$GG$6</definedName>
    <definedName name="Z_7FD4C6B9_57CD_46FD_8ACC_3FD9F7C6CD86_.wvu.FilterData" localSheetId="0" hidden="1">現在!$A$5:$GG$6</definedName>
    <definedName name="Z_7FF7CA5B_0D6D_44A2_90F3_5E035465115A_.wvu.FilterData" localSheetId="0" hidden="1">現在!$A$5:$GG$6</definedName>
    <definedName name="Z_7FFAD40D_AE61_4E3A_9734_AAD3BDA6D0A1_.wvu.FilterData" localSheetId="0" hidden="1">現在!$A$5:$AB$7</definedName>
    <definedName name="Z_80085F6B_D7CB_4B37_B8AF_4D9323EBD038_.wvu.FilterData" localSheetId="0" hidden="1">現在!$A$5:$GG$7</definedName>
    <definedName name="Z_8015F7ED_3AA3_4242_9DAC_AD8316B21BB8_.wvu.FilterData" localSheetId="0" hidden="1">現在!$A$4:$GG$7</definedName>
    <definedName name="Z_803B996F_39E0_49DB_8567_9C091CC90F2B_.wvu.FilterData" localSheetId="0" hidden="1">現在!$A$6:$GG$7</definedName>
    <definedName name="Z_804C58D1_DCCF_409C_9F62_1F8B99F03518_.wvu.FilterData" localSheetId="0" hidden="1">現在!$A$6:$GG$7</definedName>
    <definedName name="Z_80606476_275F_4872_97D2_E46115DA23FF_.wvu.FilterData" localSheetId="0" hidden="1">現在!$A$5:$GG$6</definedName>
    <definedName name="Z_80717A9D_21C0_4681_AA14_01A6C7870579_.wvu.FilterData" localSheetId="0" hidden="1">現在!$A$5:$GG$7</definedName>
    <definedName name="Z_80A73EA4_B1E5_4434_8CDC_CE032788DD72_.wvu.FilterData" localSheetId="0" hidden="1">現在!$A$5:$GG$6</definedName>
    <definedName name="Z_80C11123_570F_4367_A7FE_AC4A8F7C8BF9_.wvu.FilterData" localSheetId="0" hidden="1">現在!$W$5:$W$90</definedName>
    <definedName name="Z_81185B96_E2E7_4583_ACF0_D77B52A84EB0_.wvu.FilterData" localSheetId="0" hidden="1">現在!$A$5:$GG$7</definedName>
    <definedName name="Z_819E79DD_AEE9_43F7_BD55_21027EB8C645_.wvu.FilterData" localSheetId="0" hidden="1">現在!$A$5:$GG$7</definedName>
    <definedName name="Z_81BF19D7_E7CC_4720_89B3_E6556C5B4F4A_.wvu.FilterData" localSheetId="0" hidden="1">現在!$A$5:$GG$6</definedName>
    <definedName name="Z_81F4D0E0_FBDB_4222_BEF7_67808BE4BC6E_.wvu.FilterData" localSheetId="0" hidden="1">現在!$A$5:$AB$6</definedName>
    <definedName name="Z_8205EF08_170A_4208_8AE9_9C1FE1E49188_.wvu.FilterData" localSheetId="0" hidden="1">現在!$W$5:$W$7</definedName>
    <definedName name="Z_8227A378_3592_41BC_A6B4_43EEF007D11F_.wvu.FilterData" localSheetId="0" hidden="1">現在!$A$5:$GG$7</definedName>
    <definedName name="Z_8237F1C9_C45D_4395_93BE_9316A4A831D2_.wvu.FilterData" localSheetId="0" hidden="1">現在!$A$5:$GG$6</definedName>
    <definedName name="Z_823B273E_B55B_4A68_8EBC_ED673B8F4E13_.wvu.FilterData" localSheetId="0" hidden="1">現在!$A$5:$GG$7</definedName>
    <definedName name="Z_824AC059_F8EC_468A_8B49_4450C7310437_.wvu.FilterData" localSheetId="0" hidden="1">現在!$A$5:$GG$6</definedName>
    <definedName name="Z_824E2C3A_8D2C_4E36_BE39_0F331DE8FAAF_.wvu.FilterData" localSheetId="0" hidden="1">現在!$A$5:$GG$7</definedName>
    <definedName name="Z_8281100B_7E34_4861_90C2_34AD3A282C87_.wvu.FilterData" localSheetId="0" hidden="1">現在!$A$5:$GG$7</definedName>
    <definedName name="Z_837182EF_D6F9_4EE4_9D64_71434ABE2BD8_.wvu.FilterData" localSheetId="0" hidden="1">現在!$A$5:$AB$6</definedName>
    <definedName name="Z_83760E5E_BFCA_4140_8636_E42E51B8A95F_.wvu.FilterData" localSheetId="0" hidden="1">現在!$A$5:$GH$6</definedName>
    <definedName name="Z_838A00D5_A0FC_4367_9B42_478EDE27D0FB_.wvu.FilterData" localSheetId="0" hidden="1">現在!$A$5:$GG$6</definedName>
    <definedName name="Z_838ACFB0_62E7_42E1_9C34_6E1DCFE1BFF0_.wvu.FilterData" localSheetId="0" hidden="1">現在!$A$5:$GG$6</definedName>
    <definedName name="Z_83928B14_33EA_4AC1_808E_28DDDDCC8C7E_.wvu.FilterData" localSheetId="0" hidden="1">現在!$A$5:$GG$7</definedName>
    <definedName name="Z_83C4ABC3_3258_4DF4_8826_E44C52F2CBD4_.wvu.FilterData" localSheetId="0" hidden="1">現在!$A$5:$GG$6</definedName>
    <definedName name="Z_83D5B757_8BC5_4328_949A_3CF36E7DB8DD_.wvu.FilterData" localSheetId="0" hidden="1">現在!$A$4:$GG$7</definedName>
    <definedName name="Z_83D61298_3C8B_4A3C_AAA1_CED51E969ED8_.wvu.FilterData" localSheetId="0" hidden="1">現在!$A$5:$GG$7</definedName>
    <definedName name="Z_83F7EB81_81A2_4310_8A69_C0C8C36B5D86_.wvu.FilterData" localSheetId="0" hidden="1">現在!$A$5:$GG$7</definedName>
    <definedName name="Z_83F83071_FD4F_4A31_85DF_1457E1B6D354_.wvu.FilterData" localSheetId="0" hidden="1">現在!$A$5:$GG$6</definedName>
    <definedName name="Z_841357D9_5D6E_4EA6_9CD5_4ECCA2843670_.wvu.FilterData" localSheetId="0" hidden="1">現在!$A$4:$GG$7</definedName>
    <definedName name="Z_841A1C23_ADA6_4EDB_A666_2359F88D41B7_.wvu.FilterData" localSheetId="0" hidden="1">現在!$A$5:$AB$6</definedName>
    <definedName name="Z_8435B999_8C4C_4E95_BF22_D8ED80F23585_.wvu.FilterData" localSheetId="0" hidden="1">現在!$A$5:$GG$6</definedName>
    <definedName name="Z_84454CCC_7D9D_4D90_8319_38CCDE47863E_.wvu.FilterData" localSheetId="0" hidden="1">現在!$A$5:$GG$7</definedName>
    <definedName name="Z_8446793B_F9F8_442E_889F_F3EE3594527F_.wvu.FilterData" localSheetId="0" hidden="1">現在!$A$5:$GG$6</definedName>
    <definedName name="Z_8495FB5B_7739_4544_8C84_C37F2AEC76D0_.wvu.FilterData" localSheetId="0" hidden="1">現在!#REF!</definedName>
    <definedName name="Z_84A823F7_3930_4323_93C6_C20EDAAD2BBC_.wvu.FilterData" localSheetId="0" hidden="1">現在!$A$5:$GG$7</definedName>
    <definedName name="Z_84AA6ADF_D773_49DC_8F43_1920DAB43E9A_.wvu.FilterData" localSheetId="0" hidden="1">現在!$A$5:$AB$7</definedName>
    <definedName name="Z_84BF0700_C481_4AA5_B443_3F1433393CEC_.wvu.FilterData" localSheetId="0" hidden="1">現在!$A$5:$GG$6</definedName>
    <definedName name="Z_84C36387_1827_40E9_AA65_E939128D7CBA_.wvu.FilterData" localSheetId="0" hidden="1">現在!$A$6:$GG$7</definedName>
    <definedName name="Z_84E6BE9E_138E_484C_AB53_80611F2B7FAD_.wvu.FilterData" localSheetId="0" hidden="1">現在!$A$5:$GG$7</definedName>
    <definedName name="Z_855C3A49_48A4_4EF2_B019_05848769C381_.wvu.FilterData" localSheetId="0" hidden="1">現在!$A$5:$GG$7</definedName>
    <definedName name="Z_8573AA4C_B0E3_41AC_89EC_22522705B641_.wvu.FilterData" localSheetId="0" hidden="1">現在!$A$5:$GG$7</definedName>
    <definedName name="Z_8580856B_85A1_4E27_8783_F0D65C40E46F_.wvu.FilterData" localSheetId="0" hidden="1">現在!$A$5:$GG$6</definedName>
    <definedName name="Z_858403CE_F9BB_4891_B3CA_5AB060DC338A_.wvu.FilterData" localSheetId="0" hidden="1">現在!$A$5:$AB$6</definedName>
    <definedName name="Z_8591F3DA_A7F4_44C8_8FBA_AE640495DD3D_.wvu.FilterData" localSheetId="0" hidden="1">現在!$A$5:$GG$6</definedName>
    <definedName name="Z_859B8404_6439_4F98_935F_E313EE26B160_.wvu.FilterData" localSheetId="0" hidden="1">現在!$A$4:$GG$7</definedName>
    <definedName name="Z_85BF3836_321D_40C7_B39B_180D285004BB_.wvu.FilterData" localSheetId="0" hidden="1">現在!$A$5:$GG$7</definedName>
    <definedName name="Z_85D0F581_0F1F_4160_801E_78555625508E_.wvu.FilterData" localSheetId="0" hidden="1">現在!$A$5:$GG$6</definedName>
    <definedName name="Z_85F699B0_2ADA_426F_8519_43ADF9154B42_.wvu.FilterData" localSheetId="0" hidden="1">現在!$A$5:$GG$7</definedName>
    <definedName name="Z_8601A5A6_6742_46A0_91CC_0077CFB0991B_.wvu.FilterData" localSheetId="0" hidden="1">現在!$A$5:$GG$6</definedName>
    <definedName name="Z_8608E06D_9B76_41F2_9702_62BB49A0AF9F_.wvu.FilterData" localSheetId="0" hidden="1">現在!$A$5:$AB$6</definedName>
    <definedName name="Z_86290EB0_9112_4757_9FCA_81E0516817C1_.wvu.FilterData" localSheetId="0" hidden="1">現在!$A$5:$GG$7</definedName>
    <definedName name="Z_863D0789_0F75_481B_B3FF_0988D59405F6_.wvu.FilterData" localSheetId="0" hidden="1">現在!$A$5:$GG$7</definedName>
    <definedName name="Z_8651EFCC_D944_491C_8779_9BDF1E69FA3B_.wvu.FilterData" localSheetId="0" hidden="1">現在!$A$5:$GG$7</definedName>
    <definedName name="Z_86D390C8_24BB_42AA_96A4_5EF75A0D2681_.wvu.FilterData" localSheetId="0" hidden="1">現在!$A$5:$AB$6</definedName>
    <definedName name="Z_86D4F57C_F9C1_49BF_AC44_C7DB1286A60F_.wvu.FilterData" localSheetId="0" hidden="1">現在!$A$5:$AB$6</definedName>
    <definedName name="Z_86D5CD61_4D73_4FCA_A53F_E0C7AF0019BA_.wvu.FilterData" localSheetId="0" hidden="1">現在!$A$5:$GG$6</definedName>
    <definedName name="Z_87123CF6_2E29_4E02_9B06_81E0038C1A22_.wvu.FilterData" localSheetId="0" hidden="1">現在!$A$5:$GG$6</definedName>
    <definedName name="Z_8727DC13_4034_409A_B5B5_CE238B2676BC_.wvu.FilterData" localSheetId="0" hidden="1">現在!$A$5:$GG$6</definedName>
    <definedName name="Z_87568BAC_8F5F_4F3D_BBCE_B207944CF530_.wvu.FilterData" localSheetId="0" hidden="1">現在!$A$5:$AB$6</definedName>
    <definedName name="Z_87C9BA0E_6645_4846_84BC_C9956E570207_.wvu.FilterData" localSheetId="0" hidden="1">現在!$A$5:$GG$6</definedName>
    <definedName name="Z_87CE169A_3394_44A5_9570_D89AD3775677_.wvu.FilterData" localSheetId="0" hidden="1">現在!$A$5:$GG$6</definedName>
    <definedName name="Z_87D069CD_DAD2_48EA_8492_07D05D9AF01D_.wvu.FilterData" localSheetId="0" hidden="1">現在!$A$4:$GG$7</definedName>
    <definedName name="Z_87DA4044_519D_4CCC_B726_8D242875E369_.wvu.FilterData" localSheetId="0" hidden="1">現在!$A$4:$GG$6</definedName>
    <definedName name="Z_884C6C0B_9F4D_4549_97EF_17A0029DA674_.wvu.FilterData" localSheetId="0" hidden="1">現在!$A$5:$GG$6</definedName>
    <definedName name="Z_884C9E7D_3B18_4308_A774_E17AC6BA428A_.wvu.FilterData" localSheetId="0" hidden="1">現在!$A$5:$GG$7</definedName>
    <definedName name="Z_885A0FFE_94E4_4DC3_9E69_3A5B33D68D19_.wvu.FilterData" localSheetId="0" hidden="1">現在!$A$4:$GG$7</definedName>
    <definedName name="Z_888CA07C_38A8_4DC4_9654_CC1811C28C7E_.wvu.FilterData" localSheetId="0" hidden="1">現在!$G$5:$GG$7</definedName>
    <definedName name="Z_88B52B1B_5418_4007_B407_AB5958373727_.wvu.FilterData" localSheetId="0" hidden="1">現在!$A$5:$AB$6</definedName>
    <definedName name="Z_88B7E1B6_03E4_4E18_8C62_FD3D9305AE36_.wvu.FilterData" localSheetId="0" hidden="1">現在!$A$5:$GG$6</definedName>
    <definedName name="Z_88C0E128_8432_45D4_8B7B_288AF7FE3778_.wvu.FilterData" localSheetId="0" hidden="1">現在!$A$5:$GG$7</definedName>
    <definedName name="Z_88DE15A8_56BD_4888_886A_AC62546CC3AA_.wvu.FilterData" localSheetId="0" hidden="1">現在!$A$5:$GG$6</definedName>
    <definedName name="Z_892C5BD0_25EE_4328_8492_8F5F4621A659_.wvu.FilterData" localSheetId="0" hidden="1">現在!$A$6:$GG$7</definedName>
    <definedName name="Z_893FA04E_A9BB_4E17_AE24_0300E8057057_.wvu.FilterData" localSheetId="0" hidden="1">現在!$A$5:$AB$6</definedName>
    <definedName name="Z_894C3E62_D7CE_47F9_9B9D_3D63D3697331_.wvu.FilterData" localSheetId="0" hidden="1">現在!$A$5:$GG$7</definedName>
    <definedName name="Z_896AE05C_D50F_4B36_A6D9_7B8F2B1CB784_.wvu.FilterData" localSheetId="0" hidden="1">現在!$A$4:$GG$7</definedName>
    <definedName name="Z_8972487E_A34B_4D8D_870B_AEFBB778A843_.wvu.FilterData" localSheetId="0" hidden="1">現在!$G$5:$GG$7</definedName>
    <definedName name="Z_89E6D2A5_E826_44BC_8FA7_B0F15CB402AE_.wvu.FilterData" localSheetId="0" hidden="1">現在!$A$5:$AB$6</definedName>
    <definedName name="Z_89ED996B_E983_4B4D_AB4B_16B964936D7A_.wvu.FilterData" localSheetId="0" hidden="1">現在!$A$6:$GG$7</definedName>
    <definedName name="Z_89F75B63_52FE_4523_AB01_5E3B0CCF4772_.wvu.FilterData" localSheetId="0" hidden="1">現在!$A$6:$GG$7</definedName>
    <definedName name="Z_8A055DBB_6965_403C_B3E2_FB13033009BA_.wvu.FilterData" localSheetId="0" hidden="1">現在!$W$5:$W$7</definedName>
    <definedName name="Z_8A0FA929_E587_4468_ADC4_A12B6EE48E39_.wvu.FilterData" localSheetId="0" hidden="1">現在!$A$5:$GG$6</definedName>
    <definedName name="Z_8A4C3429_F0D3_446A_A1AC_2357759E5C4F_.wvu.FilterData" localSheetId="0" hidden="1">現在!$A$5:$AB$6</definedName>
    <definedName name="Z_8A64C59D_7B34_4DAB_A9C1_F4085B0C0581_.wvu.FilterData" localSheetId="0" hidden="1">現在!$A$5:$GG$7</definedName>
    <definedName name="Z_8AAC0F5C_4159_473D_9C86_636179692F8E_.wvu.FilterData" localSheetId="0" hidden="1">現在!$A$5:$GG$6</definedName>
    <definedName name="Z_8AD1638F_FA39_4669_A139_B3D7C2BE1720_.wvu.FilterData" localSheetId="0" hidden="1">現在!$A$5:$AB$6</definedName>
    <definedName name="Z_8AD51C9F_A639_4965_AE25_EDB576603916_.wvu.FilterData" localSheetId="0" hidden="1">現在!$A$4:$GG$7</definedName>
    <definedName name="Z_8AE198F5_0463_43B3_A684_EA07A54E9948_.wvu.FilterData" localSheetId="0" hidden="1">現在!$A$5:$GG$7</definedName>
    <definedName name="Z_8B02937B_1A93_4C19_A3D9_1F94086630EA_.wvu.FilterData" localSheetId="0" hidden="1">現在!$A$5:$GG$6</definedName>
    <definedName name="Z_8B1A8E2C_0D0B_4CB2_BA60_9C66FD56922D_.wvu.FilterData" localSheetId="0" hidden="1">現在!$A$5:$GG$7</definedName>
    <definedName name="Z_8B4D2980_EB7C_4B31_B932_E8DB82EE0233_.wvu.FilterData" localSheetId="0" hidden="1">現在!$A$5:$GG$7</definedName>
    <definedName name="Z_8B50C6C9_07B5_422C_9E85_AFAA8DF14E2F_.wvu.FilterData" localSheetId="0" hidden="1">現在!$A$4:$GG$7</definedName>
    <definedName name="Z_8B727113_A5C8_49BD_A23B_487500857A09_.wvu.FilterData" localSheetId="0" hidden="1">現在!$A$5:$GG$6</definedName>
    <definedName name="Z_8B83C489_DAA6_4C09_84A1_117EAB00FB97_.wvu.FilterData" localSheetId="0" hidden="1">現在!$A$5:$GG$7</definedName>
    <definedName name="Z_8B8E751C_4620_48CA_A25D_AD0FF4D87797_.wvu.FilterData" localSheetId="0" hidden="1">現在!$A$5:$GG$7</definedName>
    <definedName name="Z_8BA4C182_66AE_4084_8554_71508E7D39A5_.wvu.FilterData" localSheetId="0" hidden="1">現在!$A$4:$GG$7</definedName>
    <definedName name="Z_8BC68CCD_9194_4989_B5C8_8F51BED2340A_.wvu.FilterData" localSheetId="0" hidden="1">現在!$A$6:$GG$7</definedName>
    <definedName name="Z_8BE33A23_E12D_4BBA_A3C8_D9C8DB716AF9_.wvu.FilterData" localSheetId="0" hidden="1">現在!$A$5:$GG$6</definedName>
    <definedName name="Z_8C068B39_ABD8_4265_9B5D_050ECF7FCA8E_.wvu.FilterData" localSheetId="0" hidden="1">現在!$A$6:$GG$7</definedName>
    <definedName name="Z_8C149316_96FB_4CD7_8BB6_883213AF5879_.wvu.FilterData" localSheetId="0" hidden="1">現在!$A$5:$GG$7</definedName>
    <definedName name="Z_8C3AE87F_0A7D_4A0A_BD92_5DA1ABA6CBBA_.wvu.FilterData" localSheetId="0" hidden="1">現在!$A$5:$GH$6</definedName>
    <definedName name="Z_8C6341A1_5A8D_494D_8DD7_662D3195F409_.wvu.FilterData" localSheetId="0" hidden="1">現在!$A$4:$GG$7</definedName>
    <definedName name="Z_8C74F9F5_F702_42FA_9563_ADB917A7E961_.wvu.FilterData" localSheetId="0" hidden="1">現在!$A$5:$GG$6</definedName>
    <definedName name="Z_8CB623EB_C675_456C_99FA_44E54C792C5A_.wvu.FilterData" localSheetId="0" hidden="1">現在!$A$5:$GG$6</definedName>
    <definedName name="Z_8CD1BE17_334F_4F1C_8CA4_26347FFAB19F_.wvu.FilterData" localSheetId="0" hidden="1">現在!$A$5:$GG$6</definedName>
    <definedName name="Z_8CD348FC_3CFF_40DE_8666_1764651D0B9B_.wvu.FilterData" localSheetId="0" hidden="1">現在!$A$5:$GG$6</definedName>
    <definedName name="Z_8CD7FCC4_3803_40BD_87B5_0614B2146690_.wvu.FilterData" localSheetId="0" hidden="1">現在!$A$5:$GG$6</definedName>
    <definedName name="Z_8D1113D7_2B79_4B9C_A235_D2DF50D8553E_.wvu.FilterData" localSheetId="0" hidden="1">現在!$A$5:$GG$6</definedName>
    <definedName name="Z_8D16402A_F724_45B9_8B3D_B4AEA2FD551D_.wvu.FilterData" localSheetId="0" hidden="1">現在!$A$5:$GG$7</definedName>
    <definedName name="Z_8D1D22C9_FB63_4B4D_B5E1_D32F261B2CA6_.wvu.FilterData" localSheetId="0" hidden="1">現在!$A$5:$AB$6</definedName>
    <definedName name="Z_8D26C2E3_E362_4E4C_8CD5_55F55A0F2CD7_.wvu.FilterData" localSheetId="0" hidden="1">現在!$G$5:$GG$7</definedName>
    <definedName name="Z_8D2E68B3_E3D7_4B97_A173_2BED4106A4E1_.wvu.FilterData" localSheetId="0" hidden="1">現在!$G$5:$GG$7</definedName>
    <definedName name="Z_8D394B67_257F_477B_B915_7C18866723B3_.wvu.FilterData" localSheetId="0" hidden="1">現在!$A$5:$GG$7</definedName>
    <definedName name="Z_8D46B98E_06AF_4FD6_83E9_499E3BD67ED5_.wvu.FilterData" localSheetId="0" hidden="1">現在!$A$4:$GG$7</definedName>
    <definedName name="Z_8D9698CB_02A3_4342_8EC7_6A282C280696_.wvu.FilterData" localSheetId="0" hidden="1">現在!$A$5:$GG$7</definedName>
    <definedName name="Z_8D9744C5_A30F_4ADE_AE76_B90D7352041A_.wvu.FilterData" localSheetId="0" hidden="1">現在!$A$6:$GG$7</definedName>
    <definedName name="Z_8DA97BE7_305A_4A20_B7B0_8B37A287D7EA_.wvu.FilterData" localSheetId="0" hidden="1">現在!$A$5:$GG$7</definedName>
    <definedName name="Z_8DBC8289_D477_40FA_9C19_E513AB632A1A_.wvu.FilterData" localSheetId="0" hidden="1">現在!$A$5:$AB$6</definedName>
    <definedName name="Z_8DBE967B_3273_4C74_8AC8_10DE2B4600EF_.wvu.FilterData" localSheetId="0" hidden="1">現在!$A$5:$GG$6</definedName>
    <definedName name="Z_8DF01FD6_D37A_48F1_AC80_F5BBE174FA8E_.wvu.FilterData" localSheetId="0" hidden="1">現在!$A$5:$GG$7</definedName>
    <definedName name="Z_8E30294C_3B53_4C53_BCD7_D4A8F8B3BED5_.wvu.FilterData" localSheetId="0" hidden="1">現在!$A$5:$GG$7</definedName>
    <definedName name="Z_8E409027_E37C_4956_A475_BE09837B2F93_.wvu.FilterData" localSheetId="0" hidden="1">現在!$A$5:$AB$6</definedName>
    <definedName name="Z_8E7CB607_B14E_49C8_8926_2E8DF984C0D9_.wvu.FilterData" localSheetId="0" hidden="1">現在!$A$5:$GG$6</definedName>
    <definedName name="Z_8E8B8A88_385A_4391_A6FF_B2A3CA85A135_.wvu.FilterData" localSheetId="0" hidden="1">現在!$A$5:$GG$7</definedName>
    <definedName name="Z_8E8FB385_DD08_4AAF_BC71_B143D159EED8_.wvu.FilterData" localSheetId="0" hidden="1">現在!$A$5:$GG$7</definedName>
    <definedName name="Z_8E940C11_B28D_4C8F_99AE_DC5648AE6B4C_.wvu.FilterData" localSheetId="0" hidden="1">現在!$A$5:$GG$6</definedName>
    <definedName name="Z_8EBF598B_3147_4108_AEA5_F0ABBD8DE3B4_.wvu.FilterData" localSheetId="0" hidden="1">現在!$G$5:$GG$7</definedName>
    <definedName name="Z_8ECE2362_4DCF_485E_9038_D8038910BB7F_.wvu.FilterData" localSheetId="0" hidden="1">現在!$A$5:$GG$6</definedName>
    <definedName name="Z_8F0DD1DE_BBA2_4D59_8DB2_4339EAF0AAEE_.wvu.FilterData" localSheetId="0" hidden="1">現在!$A$1:$GG$6</definedName>
    <definedName name="Z_8F31CAB7_6372_48EF_97F0_E9AF7F457406_.wvu.FilterData" localSheetId="0" hidden="1">現在!$A$4:$GG$7</definedName>
    <definedName name="Z_8F46D309_B76B_4568_BA16_57845E02D045_.wvu.FilterData" localSheetId="0" hidden="1">現在!$A$5:$GG$7</definedName>
    <definedName name="Z_8F4CF9E7_113C_4311_8789_8DF1B08F8271_.wvu.FilterData" localSheetId="0" hidden="1">現在!$A$5:$AB$7</definedName>
    <definedName name="Z_8F585A16_BF9D_4F5C_8F22_05DF4F0CDDF6_.wvu.FilterData" localSheetId="0" hidden="1">現在!$A$5:$AB$6</definedName>
    <definedName name="Z_8F80D1F6_31A5_4929_8E9C_BF6E1E23840C_.wvu.FilterData" localSheetId="0" hidden="1">現在!$A$5:$AB$6</definedName>
    <definedName name="Z_8F8B661F_AC69_4E45_8A5A_6037B3F4AF9C_.wvu.FilterData" localSheetId="0" hidden="1">現在!$A$5:$GG$7</definedName>
    <definedName name="Z_8F8F09D2_12C5_455D_B108_DCFC173A2D84_.wvu.FilterData" localSheetId="0" hidden="1">現在!$A$5:$GG$7</definedName>
    <definedName name="Z_8FA3BFEE_1E70_40E6_9F55_B354A68F6FD7_.wvu.FilterData" localSheetId="0" hidden="1">現在!$A$6:$GG$7</definedName>
    <definedName name="Z_8FA5FA26_32EB_456B_8465_FC7A788ACB8E_.wvu.FilterData" localSheetId="0" hidden="1">現在!$A$4:$GG$6</definedName>
    <definedName name="Z_8FAAB906_4F2E_44B0_83AC_23BA79DF9BB0_.wvu.FilterData" localSheetId="0" hidden="1">現在!$A$4:$GG$7</definedName>
    <definedName name="Z_8FB29D3B_B4C7_4111_ADFD_F4AD7231B63D_.wvu.FilterData" localSheetId="0" hidden="1">現在!$A$4:$GG$7</definedName>
    <definedName name="Z_8FBD4215_9C15_4C20_A13E_9FE1E172518F_.wvu.FilterData" localSheetId="0" hidden="1">現在!$A$5:$GG$6</definedName>
    <definedName name="Z_8FD23EE0_A098_47F3_8035_623208B54197_.wvu.FilterData" localSheetId="1" hidden="1">休日設定!$A$1:$B$77</definedName>
    <definedName name="Z_8FD23EE0_A098_47F3_8035_623208B54197_.wvu.FilterData" localSheetId="0" hidden="1">現在!$A$5:$GG$7</definedName>
    <definedName name="Z_900D65CE_F60E_4612_BACA_86DAFE3169AB_.wvu.FilterData" localSheetId="0" hidden="1">現在!$A$5:$GG$6</definedName>
    <definedName name="Z_9018F4C0_612D_4FFF_BCDC_4EB5D9052919_.wvu.FilterData" localSheetId="0" hidden="1">現在!$A$5:$AB$7</definedName>
    <definedName name="Z_903BF8B1_72BB_441A_A23A_4D8CAAC0B5AD_.wvu.FilterData" localSheetId="0" hidden="1">現在!$A$5:$GG$6</definedName>
    <definedName name="Z_903FAD86_69B3_46F6_BCFA_8C2A9A18DE77_.wvu.FilterData" localSheetId="0" hidden="1">現在!$A$5:$GG$6</definedName>
    <definedName name="Z_90840891_55CE_4385_BCC2_25331F4E754B_.wvu.FilterData" localSheetId="0" hidden="1">現在!$A$4:$GG$7</definedName>
    <definedName name="Z_908A7021_F0C1_49EF_B969_E598F5D1B793_.wvu.FilterData" localSheetId="0" hidden="1">現在!$A$5:$AB$6</definedName>
    <definedName name="Z_90AABAF2_B771_406D_927B_528EC3B773C3_.wvu.FilterData" localSheetId="0" hidden="1">現在!$A$5:$GG$7</definedName>
    <definedName name="Z_90DE5453_792D_453B_ABC5_8808DE9C2FEE_.wvu.FilterData" localSheetId="0" hidden="1">現在!$A$5:$GG$6</definedName>
    <definedName name="Z_90E0EF88_2B99_4B9A_96D4_1914E4983F13_.wvu.FilterData" localSheetId="0" hidden="1">現在!$A$5:$GG$7</definedName>
    <definedName name="Z_91017F54_7812_4614_92B3_82AE1A2765B4_.wvu.FilterData" localSheetId="0" hidden="1">現在!$W$5:$W$90</definedName>
    <definedName name="Z_91042661_C01F_4584_9D67_A49517187227_.wvu.FilterData" localSheetId="0" hidden="1">現在!$A$5:$GG$6</definedName>
    <definedName name="Z_9186CE5D_361B_4DCA_BF87_298A0FBD9B2F_.wvu.FilterData" localSheetId="0" hidden="1">現在!$A$5:$GG$7</definedName>
    <definedName name="Z_91E1AC0C_E45B_4377_98DB_46D394B88B00_.wvu.FilterData" localSheetId="0" hidden="1">現在!$A$5:$GG$7</definedName>
    <definedName name="Z_921B0ED5_2315_47BA_9F0E_6BA7BD4C8B68_.wvu.FilterData" localSheetId="0" hidden="1">現在!$A$5:$GG$6</definedName>
    <definedName name="Z_9230E3B8_E56E_4007_92D4_DA37E4AC8255_.wvu.FilterData" localSheetId="0" hidden="1">現在!$A$5:$AB$6</definedName>
    <definedName name="Z_92C2EB04_888E_4FBF_9E46_7F9FDF92B82B_.wvu.FilterData" localSheetId="0" hidden="1">現在!$A$5:$GG$7</definedName>
    <definedName name="Z_92CF2F77_D072_4FA8_8ACE_4AC892487E9C_.wvu.FilterData" localSheetId="0" hidden="1">現在!$A$4:$GG$7</definedName>
    <definedName name="Z_93075C50_0FFF_4EDD_889D_6203E94BDF30_.wvu.FilterData" localSheetId="0" hidden="1">現在!$A$5:$AB$6</definedName>
    <definedName name="Z_9341DB22_26DC_43F3_899B_0B4A1C9C6798_.wvu.FilterData" localSheetId="0" hidden="1">現在!$A$5:$GG$7</definedName>
    <definedName name="Z_935978D9_30C1_4FA4_86D9_BF2A8182100B_.wvu.FilterData" localSheetId="0" hidden="1">現在!$A$5:$GG$7</definedName>
    <definedName name="Z_93AA2846_FB97_4858_900D_1798811AE477_.wvu.FilterData" localSheetId="0" hidden="1">現在!$A$5:$GH$5</definedName>
    <definedName name="Z_93AEAD77_49C9_4355_BF81_257CB4DFBA17_.wvu.FilterData" localSheetId="0" hidden="1">現在!$A$4:$GG$7</definedName>
    <definedName name="Z_93DDFC83_EA6B_426C_88FC_F9E00D1F9AF8_.wvu.FilterData" localSheetId="0" hidden="1">現在!$A$5:$GG$7</definedName>
    <definedName name="Z_93FED7E9_5D22_4AA0_82D5_4402AF8DE703_.wvu.FilterData" localSheetId="0" hidden="1">現在!$A$5:$GG$6</definedName>
    <definedName name="Z_943331A7_DAFF_4E47_BD83_197E56844098_.wvu.FilterData" localSheetId="0" hidden="1">現在!$A$5:$GG$7</definedName>
    <definedName name="Z_9434E83C_4338_4759_BF4A_29C3BAEC3FC8_.wvu.FilterData" localSheetId="0" hidden="1">現在!$A$5:$GG$6</definedName>
    <definedName name="Z_943A2890_21CC_407C_A1ED_17BAEBEEB300_.wvu.FilterData" localSheetId="0" hidden="1">現在!$A$5:$GG$6</definedName>
    <definedName name="Z_94594C74_B638_4B3B_97BA_9D9210D0A2D3_.wvu.FilterData" localSheetId="0" hidden="1">現在!$A$5:$GG$7</definedName>
    <definedName name="Z_946B5DA2_74C7_44C2_8580_2D1D4139A5AD_.wvu.FilterData" localSheetId="0" hidden="1">現在!$A$5:$GG$7</definedName>
    <definedName name="Z_94A48015_BDD7_4002_97ED_DCDEFD6854E9_.wvu.FilterData" localSheetId="0" hidden="1">現在!$A$6:$GG$7</definedName>
    <definedName name="Z_94B4623A_87CD_45FC_AB11_48FB5BA0145F_.wvu.FilterData" localSheetId="0" hidden="1">現在!$A$5:$GG$6</definedName>
    <definedName name="Z_94CF4D33_DC3C_4964_BD30_35F7CB0D4FF1_.wvu.FilterData" localSheetId="0" hidden="1">現在!$A$5:$AB$6</definedName>
    <definedName name="Z_94D69F70_CDD6_47A5_B457_5092DA58DF9B_.wvu.FilterData" localSheetId="0" hidden="1">現在!$A$5:$GG$7</definedName>
    <definedName name="Z_94F56060_90E3_411D_8100_9D7A282103D9_.wvu.FilterData" localSheetId="0" hidden="1">現在!$A$5:$GG$6</definedName>
    <definedName name="Z_9516ED59_89FE_4271_8FFA_CF4F0DF73497_.wvu.FilterData" localSheetId="0" hidden="1">現在!$A$5:$GG$6</definedName>
    <definedName name="Z_955A2019_675E_477D_8A9B_510E0246D659_.wvu.FilterData" localSheetId="0" hidden="1">現在!$A$5:$GG$6</definedName>
    <definedName name="Z_95676E6D_6C8B_4AC8_97B5_2BE1989E24A0_.wvu.FilterData" localSheetId="0" hidden="1">現在!$A$5:$GG$7</definedName>
    <definedName name="Z_95DFC9C6_3786_4061_8CF3_5D579A9D74C7_.wvu.FilterData" localSheetId="0" hidden="1">現在!#REF!</definedName>
    <definedName name="Z_95EA96DB_170A_4336_8227_37EEB2110EBF_.wvu.FilterData" localSheetId="0" hidden="1">現在!$A$5:$GG$6</definedName>
    <definedName name="Z_95F1E425_69D2_4897_982C_CB9331AE2B48_.wvu.FilterData" localSheetId="1" hidden="1">休日設定!$A$1:$B$77</definedName>
    <definedName name="Z_95F1E425_69D2_4897_982C_CB9331AE2B48_.wvu.FilterData" localSheetId="0" hidden="1">現在!$A$5:$GG$7</definedName>
    <definedName name="Z_96127D56_3DA5_41CA_A38E_77837A41EFEF_.wvu.FilterData" localSheetId="0" hidden="1">現在!$A$5:$GG$6</definedName>
    <definedName name="Z_9644E012_45E9_4011_BBAE_0C645BC7A22B_.wvu.FilterData" localSheetId="0" hidden="1">現在!$A$5:$GG$6</definedName>
    <definedName name="Z_96624043_B522_4D74_8C0B_B0745C77BC23_.wvu.FilterData" localSheetId="0" hidden="1">現在!$A$5:$AB$6</definedName>
    <definedName name="Z_9678EBE9_988E_48E2_A8D1_681D15A67E28_.wvu.FilterData" localSheetId="0" hidden="1">現在!$A$5:$GG$6</definedName>
    <definedName name="Z_96809137_56EC_483F_BA7F_96A661C06C84_.wvu.FilterData" localSheetId="0" hidden="1">現在!$A$5:$GG$7</definedName>
    <definedName name="Z_96A199A4_D2EE_45F4_AA5B_3ADC32BC29C2_.wvu.FilterData" localSheetId="0" hidden="1">現在!$A$5:$GG$6</definedName>
    <definedName name="Z_96B11846_E90C_485C_8FDC_FA97134546B9_.wvu.FilterData" localSheetId="0" hidden="1">現在!$A$4:$GG$7</definedName>
    <definedName name="Z_97185C8A_4827_4E50_A4F1_507BAFBB3A2F_.wvu.FilterData" localSheetId="0" hidden="1">現在!$A$5:$GG$6</definedName>
    <definedName name="Z_9746F60D_D3E7_47F3_9913_26D5EEF00622_.wvu.FilterData" localSheetId="1" hidden="1">休日設定!$A$1:$B$77</definedName>
    <definedName name="Z_9746F60D_D3E7_47F3_9913_26D5EEF00622_.wvu.FilterData" localSheetId="0" hidden="1">現在!$A$5:$GG$7</definedName>
    <definedName name="Z_975673D9_40C2_4435_B5DB_C7515001721B_.wvu.FilterData" localSheetId="0" hidden="1">現在!$G$5:$GG$7</definedName>
    <definedName name="Z_9770C94F_10C9_4558_BF78_FB60C698CBB3_.wvu.FilterData" localSheetId="0" hidden="1">現在!$A$5:$GG$7</definedName>
    <definedName name="Z_97DAF304_6538_4E65_B5CC_1DA562467704_.wvu.FilterData" localSheetId="0" hidden="1">現在!$A$4:$GG$7</definedName>
    <definedName name="Z_980444B0_B57B_4B33_8771_0CF9BBA5DD2F_.wvu.FilterData" localSheetId="0" hidden="1">現在!$A$5:$BJ$6</definedName>
    <definedName name="Z_983A595E_554B_4FC9_97E6_16E4818C89B8_.wvu.FilterData" localSheetId="0" hidden="1">現在!$G$5:$GG$7</definedName>
    <definedName name="Z_983C012A_EE7C_4F12_B766_049B2209C6C2_.wvu.FilterData" localSheetId="0" hidden="1">現在!$A$5:$GG$7</definedName>
    <definedName name="Z_9860FD6C_D55A_4E5B_80FE_80C7FB53BB46_.wvu.FilterData" localSheetId="0" hidden="1">現在!$A$4:$GG$6</definedName>
    <definedName name="Z_9899BA5E_4DAF_4CAA_A6B6_C281BFAB3280_.wvu.FilterData" localSheetId="0" hidden="1">現在!$A$5:$GG$6</definedName>
    <definedName name="Z_989F788B_23FE_44AD_B6E1_6A6DDD4049E8_.wvu.FilterData" localSheetId="0" hidden="1">現在!$A$5:$AB$6</definedName>
    <definedName name="Z_98AA2A87_517B_4697_A9B3_873095F08ADC_.wvu.FilterData" localSheetId="0" hidden="1">現在!$A$5:$GG$6</definedName>
    <definedName name="Z_98C0173E_E9F5_45CA_AFCE_E0BBF9620D3D_.wvu.FilterData" localSheetId="0" hidden="1">現在!$A$5:$GG$6</definedName>
    <definedName name="Z_98C3366E_B73A_4DEB_828D_309DFE8D4C26_.wvu.FilterData" localSheetId="0" hidden="1">現在!$A$5:$GG$7</definedName>
    <definedName name="Z_99197B08_AD21_4399_A531_D55619440C54_.wvu.FilterData" localSheetId="0" hidden="1">現在!$A$5:$GG$7</definedName>
    <definedName name="Z_996048F5_E363_4AF8_B07A_DBDD903C2921_.wvu.FilterData" localSheetId="0" hidden="1">現在!$A$5:$GG$7</definedName>
    <definedName name="Z_996B5396_508E_4579_80D1_189B9106DD96_.wvu.FilterData" localSheetId="0" hidden="1">現在!$A$5:$GG$7</definedName>
    <definedName name="Z_99834A00_20DA_4A10_821D_EBC981AF5482_.wvu.FilterData" localSheetId="0" hidden="1">現在!$W$4:$W$5</definedName>
    <definedName name="Z_99834A00_20DA_4A10_821D_EBC981AF5482_.wvu.PrintArea" localSheetId="0" hidden="1">現在!$F$1:$DQ$5</definedName>
    <definedName name="Z_998DCD37_B2DA_4245_AF9E_66159799B805_.wvu.FilterData" localSheetId="0" hidden="1">現在!$A$5:$AB$6</definedName>
    <definedName name="Z_99CF5EC7_73A5_46C2_B3DE_4583EC6420FE_.wvu.FilterData" localSheetId="0" hidden="1">現在!$A$5:$AB$6</definedName>
    <definedName name="Z_99DE73C5_FD53_48E3_BE12_7B065B4BBE8A_.wvu.FilterData" localSheetId="0" hidden="1">現在!$A$5:$GG$6</definedName>
    <definedName name="Z_9A01D4AA_E529_45DC_8B6F_2ED542C67B99_.wvu.FilterData" localSheetId="0" hidden="1">現在!$A$5:$AB$6</definedName>
    <definedName name="Z_9A1D0780_7067_4E78_A80F_95BD078858BC_.wvu.FilterData" localSheetId="0" hidden="1">現在!$A$5:$GG$6</definedName>
    <definedName name="Z_9A3C1AD1_A5B2_426C_97E1_2F6D09C70C7C_.wvu.FilterData" localSheetId="0" hidden="1">現在!$A$5:$GG$7</definedName>
    <definedName name="Z_9A3F44AF_96A2_4F02_B2AC_78BD2F06F770_.wvu.FilterData" localSheetId="0" hidden="1">現在!$A$5:$GG$6</definedName>
    <definedName name="Z_9AD5C797_CB58_4855_B0A4_7B218CFBB472_.wvu.FilterData" localSheetId="0" hidden="1">現在!$A$5:$GG$6</definedName>
    <definedName name="Z_9AED66E4_E16B_424A_835D_7FC7C146B414_.wvu.FilterData" localSheetId="0" hidden="1">現在!$A$5:$GG$6</definedName>
    <definedName name="Z_9AF6522B_EE3F_411B_B088_D2169CBEFAED_.wvu.FilterData" localSheetId="0" hidden="1">現在!$A$5:$GG$7</definedName>
    <definedName name="Z_9B289473_95FF_4F84_87F5_DAF20AD50CF5_.wvu.FilterData" localSheetId="0" hidden="1">現在!$A$5:$GG$7</definedName>
    <definedName name="Z_9B8F9A40_5C1C_4E81_9050_F0F633DAF583_.wvu.FilterData" localSheetId="0" hidden="1">現在!$A$5:$AB$6</definedName>
    <definedName name="Z_9BEBFAC8_F12B_4A0C_8C92_7001AD746F78_.wvu.FilterData" localSheetId="0" hidden="1">現在!$A$4:$GG$7</definedName>
    <definedName name="Z_9BFA99E3_C968_4493_A785_557CF04FB886_.wvu.FilterData" localSheetId="0" hidden="1">現在!$A$5:$GG$6</definedName>
    <definedName name="Z_9C23C865_74E4_4842_8037_8288AAA52D4F_.wvu.FilterData" localSheetId="0" hidden="1">現在!$A$6:$GG$7</definedName>
    <definedName name="Z_9C32C489_7C09_426F_9304_1D438326E9BA_.wvu.FilterData" localSheetId="0" hidden="1">現在!$A$5:$GG$7</definedName>
    <definedName name="Z_9C3EEFA8_9160_4B18_834A_14A76C9657F7_.wvu.FilterData" localSheetId="0" hidden="1">現在!$A$5:$GG$6</definedName>
    <definedName name="Z_9C6F7CFF_B828_495D_AB42_AB9E9853D2DB_.wvu.FilterData" localSheetId="0" hidden="1">現在!$A$5:$GH$6</definedName>
    <definedName name="Z_9C95C503_C936_4F69_AD5C_04796466765C_.wvu.FilterData" localSheetId="0" hidden="1">現在!$A$6:$GG$7</definedName>
    <definedName name="Z_9CABD507_1680_489A_A61D_248C45B90D89_.wvu.FilterData" localSheetId="0" hidden="1">現在!$A$5:$GG$6</definedName>
    <definedName name="Z_9CE47D26_B389_4AF4_8C0A_01C8A943A82B_.wvu.FilterData" localSheetId="0" hidden="1">現在!$A$5:$GG$7</definedName>
    <definedName name="Z_9CEF450E_8FD7_40E3_984B_6A3C0F78DDD3_.wvu.FilterData" localSheetId="0" hidden="1">現在!$A$5:$GG$6</definedName>
    <definedName name="Z_9CF70C34_71E3_46CE_9A53_5980424107D3_.wvu.FilterData" localSheetId="0" hidden="1">現在!$A$5:$GG$6</definedName>
    <definedName name="Z_9D076C66_D1B2_42CA_A834_54FAB2919A99_.wvu.FilterData" localSheetId="0" hidden="1">現在!$A$5:$GG$7</definedName>
    <definedName name="Z_9D341940_5AFA_4467_8DC5_0224328DC6DD_.wvu.FilterData" localSheetId="0" hidden="1">現在!$A$5:$AB$6</definedName>
    <definedName name="Z_9D44C59B_5450_4A93_81A4_C426E7094856_.wvu.FilterData" localSheetId="0" hidden="1">現在!$A$5:$AB$6</definedName>
    <definedName name="Z_9D574371_C162_40FF_BEE7_7918B333387D_.wvu.FilterData" localSheetId="0" hidden="1">現在!$A$5:$AB$6</definedName>
    <definedName name="Z_9D6433AD_232C_4DCE_8924_943D5AA85341_.wvu.FilterData" localSheetId="0" hidden="1">現在!$A$5:$GG$7</definedName>
    <definedName name="Z_9D670759_9033_441C_AC82_EE12E805E9B2_.wvu.FilterData" localSheetId="0" hidden="1">現在!$A$5:$GG$6</definedName>
    <definedName name="Z_9D713BB8_712E_4A12_B0A9_4BFDFD7A31C6_.wvu.FilterData" localSheetId="0" hidden="1">現在!$A$4:$GG$7</definedName>
    <definedName name="Z_9D8CDDFC_71A2_42BB_A226_D8B14EB050CC_.wvu.FilterData" localSheetId="0" hidden="1">現在!$A$6:$GG$7</definedName>
    <definedName name="Z_9DDBDB1C_5ABB_4974_9FF8_6700C9AEC2C7_.wvu.FilterData" localSheetId="0" hidden="1">現在!$A$5:$GG$7</definedName>
    <definedName name="Z_9DEF0525_68A5_4284_B931_7897C12F77D4_.wvu.FilterData" localSheetId="0" hidden="1">現在!$A$4:$GG$7</definedName>
    <definedName name="Z_9E21F94A_DAAA_4688_9508_0015A8C24923_.wvu.FilterData" localSheetId="0" hidden="1">現在!$A$5:$GG$6</definedName>
    <definedName name="Z_9E5FDB2B_86D4_466B_AD85_A6203457A2EC_.wvu.FilterData" localSheetId="0" hidden="1">現在!$A$5:$GG$6</definedName>
    <definedName name="Z_9E68EA86_ECF4_42D5_849E_524CE1F9EE85_.wvu.FilterData" localSheetId="0" hidden="1">現在!$A$5:$AB$6</definedName>
    <definedName name="Z_9E746A9D_4B59_409B_AD84_B12D448AC8C4_.wvu.FilterData" localSheetId="0" hidden="1">現在!$A$5:$GG$6</definedName>
    <definedName name="Z_9E86AABF_B5C0_47C6_8FAB_ADF0A6978B78_.wvu.FilterData" localSheetId="0" hidden="1">現在!$A$5:$GG$6</definedName>
    <definedName name="Z_9EA9F274_3A40_43CE_BA5E_3359B31775BC_.wvu.FilterData" localSheetId="0" hidden="1">現在!$A$4:$GG$7</definedName>
    <definedName name="Z_9EC17123_9241_4A00_8985_A81BEC0700E0_.wvu.FilterData" localSheetId="0" hidden="1">現在!$A$5:$AB$6</definedName>
    <definedName name="Z_9EC26037_EFE1_4ADD_B4BE_7726AE8C8783_.wvu.FilterData" localSheetId="0" hidden="1">現在!$A$5:$GG$6</definedName>
    <definedName name="Z_9F0A40AE_C0AC_4257_AF56_1B844A38A607_.wvu.FilterData" localSheetId="0" hidden="1">現在!$A$5:$GG$7</definedName>
    <definedName name="Z_9F0EC0C5_FACD_4AB8_A715_E8057CA8EF9B_.wvu.FilterData" localSheetId="0" hidden="1">現在!$A$5:$GG$6</definedName>
    <definedName name="Z_9F343DE1_5226_4AF2_B218_0A3D91B96D54_.wvu.FilterData" localSheetId="0" hidden="1">現在!$A$5:$GG$7</definedName>
    <definedName name="Z_9F374FD8_3B49_4F3B_83A3_8B469FCC8AD2_.wvu.FilterData" localSheetId="0" hidden="1">現在!$A$5:$GH$6</definedName>
    <definedName name="Z_9F3C7A65_ED70_47DC_9780_09577212C004_.wvu.FilterData" localSheetId="0" hidden="1">現在!$A$5:$AB$7</definedName>
    <definedName name="Z_9F5EFB95_D083_4C81_8F9A_64900C39821A_.wvu.Cols" localSheetId="0" hidden="1">現在!$B:$F,現在!$P:$S</definedName>
    <definedName name="Z_9F5EFB95_D083_4C81_8F9A_64900C39821A_.wvu.FilterData" localSheetId="1" hidden="1">休日設定!$A$1:$B$77</definedName>
    <definedName name="Z_9F5EFB95_D083_4C81_8F9A_64900C39821A_.wvu.FilterData" localSheetId="0" hidden="1">現在!$W$5:$W$90</definedName>
    <definedName name="Z_9F646D19_3BDF_45CA_A099_CB09CC77488F_.wvu.FilterData" localSheetId="0" hidden="1">現在!$A$5:$GG$6</definedName>
    <definedName name="Z_9F7D467B_A67C_4591_88F8_F6827E07D25E_.wvu.FilterData" localSheetId="0" hidden="1">現在!$A$5:$AB$6</definedName>
    <definedName name="Z_9F81E56E_CA79_4CCD_A0B1_7F54DC22B084_.wvu.FilterData" localSheetId="0" hidden="1">現在!$A$5:$GG$6</definedName>
    <definedName name="Z_9F8AE074_762C_4BE6_963B_D1A5DA083A5D_.wvu.FilterData" localSheetId="0" hidden="1">現在!$A$4:$GG$6</definedName>
    <definedName name="Z_9FB88E61_EAA2_442B_A99E_FC920D3778DD_.wvu.FilterData" localSheetId="0" hidden="1">現在!$A$5:$GG$7</definedName>
    <definedName name="Z_9FB95D21_7E44_4134_858A_010A34989379_.wvu.FilterData" localSheetId="0" hidden="1">現在!$A$5:$GG$7</definedName>
    <definedName name="Z_A01DB168_DF61_46EB_A0B8_BC9AB1665DCC_.wvu.FilterData" localSheetId="0" hidden="1">現在!$A$5:$AB$5</definedName>
    <definedName name="Z_A054CEFF_5FBD_4850_9471_10F37D64B24D_.wvu.FilterData" localSheetId="0" hidden="1">現在!$A$5:$GG$6</definedName>
    <definedName name="Z_A08AAEE4_A471_4F5D_92C5_99F66EAC62DF_.wvu.FilterData" localSheetId="0" hidden="1">現在!$A$5:$GG$7</definedName>
    <definedName name="Z_A0A300AC_4119_4713_9A82_6E2542CC021B_.wvu.FilterData" localSheetId="0" hidden="1">現在!$A$7:$GG$7</definedName>
    <definedName name="Z_A0E99453_2000_4489_A55F_903D966D4668_.wvu.FilterData" localSheetId="0" hidden="1">現在!$A$4:$GG$7</definedName>
    <definedName name="Z_A0EE1748_B178_4548_80B6_EC10D6814E1B_.wvu.FilterData" localSheetId="0" hidden="1">現在!$A$6:$GG$7</definedName>
    <definedName name="Z_A12D3F1A_1F39_435C_9CA2_0F17921E518C_.wvu.FilterData" localSheetId="1" hidden="1">休日設定!$A$1:$B$77</definedName>
    <definedName name="Z_A12D3F1A_1F39_435C_9CA2_0F17921E518C_.wvu.FilterData" localSheetId="0" hidden="1">現在!$A$4:$GG$7</definedName>
    <definedName name="Z_A149DF5E_B064_4BF0_922E_040C583362B9_.wvu.FilterData" localSheetId="0" hidden="1">現在!$A$5:$AB$6</definedName>
    <definedName name="Z_A163EFCD_1CD0_44A5_9730_1B253093BEB5_.wvu.FilterData" localSheetId="0" hidden="1">現在!$A$5:$GG$7</definedName>
    <definedName name="Z_A1D21C0B_724C_46E6_9A8E_F5B1550553B9_.wvu.FilterData" localSheetId="0" hidden="1">現在!$A$6:$GG$7</definedName>
    <definedName name="Z_A1DB5789_C166_43A1_B222_DB16F3D816C0_.wvu.FilterData" localSheetId="0" hidden="1">現在!$A$5:$GG$6</definedName>
    <definedName name="Z_A20EBDD3_791F_45DB_BD6F_39869F393BD4_.wvu.FilterData" localSheetId="0" hidden="1">現在!$A$5:$GG$6</definedName>
    <definedName name="Z_A210D2BC_843E_4F4B_B33F_6E0C4908B012_.wvu.FilterData" localSheetId="0" hidden="1">現在!$A$5:$AB$6</definedName>
    <definedName name="Z_A24A09B5_B2FC_4D2A_B67A_35CD0342FA9D_.wvu.FilterData" localSheetId="0" hidden="1">現在!$A$5:$GG$7</definedName>
    <definedName name="Z_A25B18E0_2D9C_4CA3_8C11_530967BAD5A8_.wvu.FilterData" localSheetId="0" hidden="1">現在!$A$5:$AB$6</definedName>
    <definedName name="Z_A289FD51_33DB_4B62_99AD_85B6A220F414_.wvu.FilterData" localSheetId="0" hidden="1">現在!$A$5:$GG$7</definedName>
    <definedName name="Z_A292DA8A_8B34_49CD_A7D3_BBCD4EE81DE9_.wvu.FilterData" localSheetId="0" hidden="1">現在!$A$5:$AB$6</definedName>
    <definedName name="Z_A29CC1F7_9AAC_4E97_9617_4A0F8C63959D_.wvu.FilterData" localSheetId="1" hidden="1">休日設定!$A$1:$B$77</definedName>
    <definedName name="Z_A29CC1F7_9AAC_4E97_9617_4A0F8C63959D_.wvu.FilterData" localSheetId="0" hidden="1">現在!$W$5:$W$7</definedName>
    <definedName name="Z_A2B7530D_D4B1_433D_B2C9_0FC9193AD28E_.wvu.FilterData" localSheetId="0" hidden="1">現在!$A$5:$GG$6</definedName>
    <definedName name="Z_A2BE043C_1549_4DF5_9061_4382B2998814_.wvu.FilterData" localSheetId="0" hidden="1">現在!$A$5:$GG$7</definedName>
    <definedName name="Z_A2CD9DAA_DFBC_4042_8A40_0839A71EA38E_.wvu.FilterData" localSheetId="0" hidden="1">現在!$A$5:$GG$7</definedName>
    <definedName name="Z_A2E4C71D_704C_43B9_A5F6_FEB21D4630E5_.wvu.FilterData" localSheetId="0" hidden="1">現在!$A$5:$AB$6</definedName>
    <definedName name="Z_A2F67AB1_47C7_4348_B2D8_5BC704C7D69D_.wvu.FilterData" localSheetId="0" hidden="1">現在!$A$5:$GG$6</definedName>
    <definedName name="Z_A32DCA82_DC70_49C4_814D_5225F0A812C8_.wvu.FilterData" localSheetId="0" hidden="1">現在!$A$6:$GG$7</definedName>
    <definedName name="Z_A38408F8_35BE_4236_A759_5F3B8777321E_.wvu.FilterData" localSheetId="0" hidden="1">現在!$H$6:$AB$6</definedName>
    <definedName name="Z_A3BACED5_B1E5_4795_A86E_3AEA00543414_.wvu.FilterData" localSheetId="0" hidden="1">現在!$A$5:$GG$6</definedName>
    <definedName name="Z_A3CAEEA4_EBDE_46EA_B9AB_54034303606E_.wvu.FilterData" localSheetId="0" hidden="1">現在!$A$4:$GG$7</definedName>
    <definedName name="Z_A43E6444_36FB_4C87_9F27_F497CF25F9A3_.wvu.FilterData" localSheetId="0" hidden="1">現在!$A$4:$GG$7</definedName>
    <definedName name="Z_A49524BF_B876_4EF1_9213_290F21D75486_.wvu.FilterData" localSheetId="0" hidden="1">現在!$A$5:$GG$6</definedName>
    <definedName name="Z_A4AE3959_0C66_4AD1_9E59_59044E926E54_.wvu.FilterData" localSheetId="0" hidden="1">現在!$A$5:$GG$6</definedName>
    <definedName name="Z_A4E6126E_44C5_4462_BCFF_939880A1C495_.wvu.FilterData" localSheetId="0" hidden="1">現在!$A$5:$GG$7</definedName>
    <definedName name="Z_A51E1E54_FD8E_4737_A614_318A1C810B51_.wvu.FilterData" localSheetId="0" hidden="1">現在!$A$4:$GG$7</definedName>
    <definedName name="Z_A54464FF_B9A3_4E51_BD5D_01BA96965BCA_.wvu.FilterData" localSheetId="0" hidden="1">現在!$A$5:$GG$6</definedName>
    <definedName name="Z_A5789DBA_394B_48D7_B7F8_634B42C79EC0_.wvu.FilterData" localSheetId="0" hidden="1">現在!$A$5:$GG$6</definedName>
    <definedName name="Z_A57D7F90_95A8_4D4E_B8E8_51CDB00D5F0B_.wvu.FilterData" localSheetId="0" hidden="1">現在!$A$5:$AB$6</definedName>
    <definedName name="Z_A57EAE98_10AE_4B06_92C5_BA412611CF59_.wvu.FilterData" localSheetId="0" hidden="1">現在!$A$5:$GG$7</definedName>
    <definedName name="Z_A5BE13DC_E47A_4FD3_BDCB_A6647C01906A_.wvu.FilterData" localSheetId="0" hidden="1">現在!$A$4:$GG$7</definedName>
    <definedName name="Z_A5FC5859_58AD_4C87_8932_2360CE28897E_.wvu.FilterData" localSheetId="0" hidden="1">現在!$A$5:$GG$6</definedName>
    <definedName name="Z_A628804A_DAC6_4AC9_BB5E_4FB9D5447080_.wvu.FilterData" localSheetId="0" hidden="1">現在!$A$4:$GG$6</definedName>
    <definedName name="Z_A636E9D1_0E06_4734_ADCE_8A2DBA64EF58_.wvu.FilterData" localSheetId="0" hidden="1">現在!$A$5:$GG$6</definedName>
    <definedName name="Z_A670B4AA_1DDF_40B9_912E_ED875AA753DC_.wvu.FilterData" localSheetId="0" hidden="1">現在!$A$4:$GG$7</definedName>
    <definedName name="Z_A673B979_5DFB_41AC_B701_B910A351AEE0_.wvu.FilterData" localSheetId="0" hidden="1">現在!$A$5:$AB$6</definedName>
    <definedName name="Z_A6B88680_21B3_4054_81E7_68D28E6CE420_.wvu.FilterData" localSheetId="0" hidden="1">現在!$A$5:$GG$7</definedName>
    <definedName name="Z_A6CA1C0B_1469_4D73_A91D_AB469DEF59F6_.wvu.FilterData" localSheetId="0" hidden="1">現在!$A$5:$GG$7</definedName>
    <definedName name="Z_A6CF0832_EA0E_4563_BD30_D95361788638_.wvu.FilterData" localSheetId="1" hidden="1">休日設定!$A$1:$B$77</definedName>
    <definedName name="Z_A6D729D9_EA09_4DFB_9EC2_D84445E917CC_.wvu.FilterData" localSheetId="0" hidden="1">現在!$A$5:$AB$6</definedName>
    <definedName name="Z_A7297E84_7CC4_47E7_B596_50D8EA414FD3_.wvu.FilterData" localSheetId="0" hidden="1">現在!$A$5:$AB$6</definedName>
    <definedName name="Z_A74A3E9F_5E0B_4000_AF2F_18252890982B_.wvu.FilterData" localSheetId="0" hidden="1">現在!$A$5:$GG$7</definedName>
    <definedName name="Z_A751FD02_947A_4B5E_92C9_DEEB800330A1_.wvu.FilterData" localSheetId="0" hidden="1">現在!$A$5:$GG$6</definedName>
    <definedName name="Z_A762CACA_7192_48B9_9F24_513BAF723485_.wvu.FilterData" localSheetId="0" hidden="1">現在!$A$5:$AB$6</definedName>
    <definedName name="Z_A7681225_4B95_4F71_9ADC_4C4116135873_.wvu.FilterData" localSheetId="0" hidden="1">現在!$A$4:$GG$6</definedName>
    <definedName name="Z_A76D41F1_AD2A_4620_95E1_5A6F18CFD3DD_.wvu.FilterData" localSheetId="0" hidden="1">現在!$A$5:$AB$6</definedName>
    <definedName name="Z_A784D6EB_0A72_467F_977F_5298441ABAE2_.wvu.FilterData" localSheetId="0" hidden="1">現在!$A$5:$GG$7</definedName>
    <definedName name="Z_A79BE111_11BE_4C17_991B_E085BAA6E924_.wvu.FilterData" localSheetId="0" hidden="1">現在!$A$4:$GG$7</definedName>
    <definedName name="Z_A7C150C2_2275_4476_9A45_5F4E1551C78D_.wvu.FilterData" localSheetId="0" hidden="1">現在!$A$5:$GG$7</definedName>
    <definedName name="Z_A7D11746_9C9E_4796_A0E6_A3CB78EFB184_.wvu.FilterData" localSheetId="0" hidden="1">現在!$A$5:$AB$6</definedName>
    <definedName name="Z_A803B98A_5FFC_4B23_BFB5_E456E0C00039_.wvu.FilterData" localSheetId="0" hidden="1">現在!$A$5:$GG$6</definedName>
    <definedName name="Z_A806F503_9AC3_488E_98CE_1E644ACA27DA_.wvu.FilterData" localSheetId="0" hidden="1">現在!$A$5:$AB$6</definedName>
    <definedName name="Z_A814E1AF_C92D_442B_BAA8_BD971F5FDF1D_.wvu.FilterData" localSheetId="0" hidden="1">現在!$A$5:$GG$6</definedName>
    <definedName name="Z_A818587C_E3CC_4293_88F9_BA3C615292A3_.wvu.FilterData" localSheetId="0" hidden="1">現在!$A$4:$GG$7</definedName>
    <definedName name="Z_A829B7E5_60AB_4C8C_A692_745D49CC7BD0_.wvu.FilterData" localSheetId="0" hidden="1">現在!$A$5:$GG$6</definedName>
    <definedName name="Z_A84155E9_6478_4DCF_9F85_3695F7451D64_.wvu.FilterData" localSheetId="0" hidden="1">現在!$A$4:$GG$7</definedName>
    <definedName name="Z_A90B0CC5_7AEC_4A1D_8899_DB1F6C354FE9_.wvu.FilterData" localSheetId="0" hidden="1">現在!$A$5:$AB$6</definedName>
    <definedName name="Z_A922CBC1_2D5A_4B93_9901_23A6289B27DD_.wvu.FilterData" localSheetId="0" hidden="1">現在!$A$5:$AB$7</definedName>
    <definedName name="Z_A95F2213_0B1A_4CAF_BAB0_21B02BCA97A4_.wvu.FilterData" localSheetId="0" hidden="1">現在!$A$5:$GG$7</definedName>
    <definedName name="Z_A97DD411_7C91_4D98_AEF2_BB753A81F71D_.wvu.FilterData" localSheetId="0" hidden="1">現在!$A$4:$GG$6</definedName>
    <definedName name="Z_A9B75785_E871_43F5_B713_7E21BEB55800_.wvu.FilterData" localSheetId="0" hidden="1">現在!$A$4:$GG$7</definedName>
    <definedName name="Z_A9BC2FA3_6C3B_40C2_B1C6_2F547701095F_.wvu.FilterData" localSheetId="0" hidden="1">現在!$A$5:$GG$6</definedName>
    <definedName name="Z_A9BF571E_64E6_4796_A135_CCE2662AD3C8_.wvu.FilterData" localSheetId="0" hidden="1">現在!$A$5:$GG$7</definedName>
    <definedName name="Z_A9C44AC4_517F_4532_8FF6_57B53C47ED09_.wvu.FilterData" localSheetId="0" hidden="1">現在!$A$5:$GG$7</definedName>
    <definedName name="Z_A9E19DF8_D1C1_4A4F_97C2_2C7889DD85B0_.wvu.FilterData" localSheetId="0" hidden="1">現在!$A$5:$GG$7</definedName>
    <definedName name="Z_A9E9E95E_5C40_4A3C_96D3_B5258A506BEE_.wvu.FilterData" localSheetId="0" hidden="1">現在!$A$6:$GG$7</definedName>
    <definedName name="Z_A9F8CFE1_5359_445A_85F2_09E8C118E43A_.wvu.FilterData" localSheetId="0" hidden="1">現在!$A$5:$GG$6</definedName>
    <definedName name="Z_AA8753B7_A8D5_4709_A2F0_C1147ACF2D87_.wvu.FilterData" localSheetId="0" hidden="1">現在!$A$5:$GG$7</definedName>
    <definedName name="Z_AAE88FD3_4B1F_49B4_BADC_C80A49EE9E4C_.wvu.FilterData" localSheetId="0" hidden="1">現在!$A$5:$GG$7</definedName>
    <definedName name="Z_AAEAB4C9_0966_40B1_9F1D_9FD8B59F27CC_.wvu.FilterData" localSheetId="0" hidden="1">現在!$A$5:$GG$6</definedName>
    <definedName name="Z_AAF938E4_97AC_46BF_8EED_DC3FE2C77FCB_.wvu.FilterData" localSheetId="0" hidden="1">現在!$A$5:$GG$6</definedName>
    <definedName name="Z_AB8E56BA_4BC1_43C5_A5B3_0504F75FD80E_.wvu.FilterData" localSheetId="0" hidden="1">現在!$A$5:$GG$7</definedName>
    <definedName name="Z_ABB1B6F6_0B8F_475B_937E_3F43A151E45D_.wvu.FilterData" localSheetId="0" hidden="1">現在!$A$4:$GG$7</definedName>
    <definedName name="Z_ABC79570_82D5_4BFF_BF61_9FCACFF6EE9C_.wvu.FilterData" localSheetId="0" hidden="1">現在!$A$5:$GG$7</definedName>
    <definedName name="Z_ABE073CE_4FB8_4BB5_8054_FCE73EF8A300_.wvu.FilterData" localSheetId="0" hidden="1">現在!$A$5:$AB$6</definedName>
    <definedName name="Z_ABE683CE_FB03_4E5F_BFEB_7F6BA03B25AC_.wvu.FilterData" localSheetId="0" hidden="1">現在!$A$5:$GG$7</definedName>
    <definedName name="Z_ABF9ADC9_B37F_4971_9003_01999D68CC26_.wvu.FilterData" localSheetId="1" hidden="1">休日設定!$A$1:$B$77</definedName>
    <definedName name="Z_ABFF7626_A28E_43F1_A630_8A3BB6079E06_.wvu.FilterData" localSheetId="0" hidden="1">現在!$A$5:$GG$7</definedName>
    <definedName name="Z_AC13C927_328E_4093_84D4_68C874EF66F1_.wvu.FilterData" localSheetId="0" hidden="1">現在!$A$5:$GG$7</definedName>
    <definedName name="Z_AC219AC8_D8CA_478E_9895_3F1D1A856FB3_.wvu.FilterData" localSheetId="0" hidden="1">現在!$A$6:$GG$7</definedName>
    <definedName name="Z_AC7E8323_C74D_4DDA_A094_CAF58D2A5105_.wvu.FilterData" localSheetId="0" hidden="1">現在!$A$5:$GG$6</definedName>
    <definedName name="Z_AC968D1C_4A2A_4B74_92D8_B6C7C74F6EC9_.wvu.FilterData" localSheetId="0" hidden="1">現在!$W$5:$W$7</definedName>
    <definedName name="Z_ACA5AD16_F4D6_4CFC_B733_46AAA77C6DB6_.wvu.FilterData" localSheetId="0" hidden="1">現在!$A$5:$GG$7</definedName>
    <definedName name="Z_ACAEF482_449B_4982_B2C1_808AF37A3441_.wvu.FilterData" localSheetId="0" hidden="1">現在!$A$5:$GG$7</definedName>
    <definedName name="Z_ACAF73C2_60F0_434E_8553_EB9F4168539B_.wvu.FilterData" localSheetId="0" hidden="1">現在!$A$5:$AB$6</definedName>
    <definedName name="Z_ACE2F61D_BAC9_4F53_9236_6531F36D4A8A_.wvu.FilterData" localSheetId="0" hidden="1">現在!$A$5:$GG$6</definedName>
    <definedName name="Z_AD05A4A8_771B_4AC6_9E8D_A665EF007861_.wvu.FilterData" localSheetId="0" hidden="1">現在!$A$6:$GG$7</definedName>
    <definedName name="Z_AD28A009_3F4F_41B0_AC89_3AAF8762E860_.wvu.FilterData" localSheetId="0" hidden="1">現在!$A$5:$GG$6</definedName>
    <definedName name="Z_AD3082C4_7869_4CC2_B701_3BAE78DCC6F2_.wvu.FilterData" localSheetId="0" hidden="1">現在!$A$5:$GG$6</definedName>
    <definedName name="Z_AD628D28_863C_4B90_BDA2_AD05965D5664_.wvu.FilterData" localSheetId="0" hidden="1">現在!$A$5:$GG$6</definedName>
    <definedName name="Z_AD76730F_E3CF_4228_9D3D_1CD1D7207C4F_.wvu.FilterData" localSheetId="0" hidden="1">現在!$A$5:$GG$6</definedName>
    <definedName name="Z_ADBD4256_E2CE_45E1_A728_5BD9B4E077B5_.wvu.FilterData" localSheetId="0" hidden="1">現在!$A$5:$GG$7</definedName>
    <definedName name="Z_ADE61F4D_82B4_4855_9554_1DFEE14F3E5D_.wvu.FilterData" localSheetId="0" hidden="1">現在!$W$5:$W$7</definedName>
    <definedName name="Z_ADF6E291_2EE3_422B_8003_2DFCA65E7454_.wvu.FilterData" localSheetId="0" hidden="1">現在!$A$5:$GH$5</definedName>
    <definedName name="Z_ADFC822E_FA03_4DCC_88B9_A9C44056A591_.wvu.FilterData" localSheetId="0" hidden="1">現在!$G$5:$GG$7</definedName>
    <definedName name="Z_AE3729B7_5AA6_4FFA_B2C7_7E227C382B6A_.wvu.FilterData" localSheetId="0" hidden="1">現在!$A$5:$AB$6</definedName>
    <definedName name="Z_AE40E87A_B18A_4068_8CF1_4688965A0D85_.wvu.FilterData" localSheetId="0" hidden="1">現在!$A$5:$GG$7</definedName>
    <definedName name="Z_AE78046B_EE20_4288_AC66_BC9F50624C2B_.wvu.FilterData" localSheetId="0" hidden="1">現在!$A$6:$GG$7</definedName>
    <definedName name="Z_AE7F868F_831D_43E4_B700_8ED45D47603B_.wvu.FilterData" localSheetId="0" hidden="1">現在!$A$5:$GH$6</definedName>
    <definedName name="Z_AE835985_CDDE_4F11_AA50_C8FEE80F94EF_.wvu.FilterData" localSheetId="0" hidden="1">現在!$A$5:$GG$7</definedName>
    <definedName name="Z_AEA24F99_144E_4735_96EE_AB4E14A6AE12_.wvu.FilterData" localSheetId="0" hidden="1">現在!$A$5:$GG$7</definedName>
    <definedName name="Z_AEB8DDBA_EFDD_4B40_AE41_67D2033C3299_.wvu.FilterData" localSheetId="0" hidden="1">現在!$A$5:$GG$7</definedName>
    <definedName name="Z_AED31E27_8074_4D44_B550_5350079F8675_.wvu.FilterData" localSheetId="0" hidden="1">現在!$A$5:$GG$7</definedName>
    <definedName name="Z_AEEB9ABD_4785_45E3_8207_EEC7F3CF9728_.wvu.FilterData" localSheetId="0" hidden="1">現在!$A$5:$GG$6</definedName>
    <definedName name="Z_AF3B4146_32CF_4346_B379_22A24137C6BD_.wvu.FilterData" localSheetId="0" hidden="1">現在!$A$5:$GG$6</definedName>
    <definedName name="Z_AF3DBC22_B469_40F5_B5C7_9F7B06AFE79B_.wvu.FilterData" localSheetId="0" hidden="1">現在!$A$5:$GG$7</definedName>
    <definedName name="Z_AF423115_62A5_4AC2_B88F_FA66B37CB4E0_.wvu.FilterData" localSheetId="0" hidden="1">現在!$A$5:$AB$6</definedName>
    <definedName name="Z_AF50DDFC_8D45_44EA_A02B_64841B3040CF_.wvu.FilterData" localSheetId="0" hidden="1">現在!$A$5:$AB$6</definedName>
    <definedName name="Z_AF7FC25E_39CC_4917_AB76_03F1A3B34BD3_.wvu.FilterData" localSheetId="0" hidden="1">現在!$A$5:$AB$6</definedName>
    <definedName name="Z_AF877988_7817_4C63_80C1_751484E910B5_.wvu.FilterData" localSheetId="0" hidden="1">現在!$A$5:$GG$7</definedName>
    <definedName name="Z_AF87AE2F_24B4_4A06_9752_9DCEB4C5ABBE_.wvu.FilterData" localSheetId="0" hidden="1">現在!$A$5:$AB$6</definedName>
    <definedName name="Z_AFBC54FD_AAAF_4995_9C0A_CEEED9182AB2_.wvu.FilterData" localSheetId="0" hidden="1">現在!$A$5:$AB$6</definedName>
    <definedName name="Z_AFD861FD_A1CB_4BBD_8EC1_116129EB6066_.wvu.FilterData" localSheetId="0" hidden="1">現在!$A$5:$AB$6</definedName>
    <definedName name="Z_B0082DFA_FB88_4D2C_B2D8_9C6FEAFE8D58_.wvu.FilterData" localSheetId="0" hidden="1">現在!$A$5:$GG$7</definedName>
    <definedName name="Z_B048FDBF_FE66_4957_A86A_63286B5C15B2_.wvu.FilterData" localSheetId="0" hidden="1">現在!$A$5:$GG$6</definedName>
    <definedName name="Z_B04AB5FF_DF8A_444C_85CA_0015114C1F06_.wvu.FilterData" localSheetId="0" hidden="1">現在!$A$5:$GG$6</definedName>
    <definedName name="Z_B08FBE87_6735_4123_8D0E_2002C635F79D_.wvu.FilterData" localSheetId="0" hidden="1">現在!$A$5:$GG$7</definedName>
    <definedName name="Z_B0C9EB60_0C45_4F31_AFA0_75C9D4B442F5_.wvu.FilterData" localSheetId="0" hidden="1">現在!$A$4:$GG$6</definedName>
    <definedName name="Z_B10B88B4_1EF3_47FB_A786_F5719E9C3FEC_.wvu.FilterData" localSheetId="0" hidden="1">現在!$A$5:$GG$7</definedName>
    <definedName name="Z_B11D7AF1_8A91_4D00_80CF_01DA243BBAD1_.wvu.FilterData" localSheetId="0" hidden="1">現在!$A$4:$GG$7</definedName>
    <definedName name="Z_B11E3068_AD78_4073_AEBA_D11BEF45F6FC_.wvu.FilterData" localSheetId="0" hidden="1">現在!$A$5:$GG$7</definedName>
    <definedName name="Z_B12A82E6_884F_4CB0_A8BC_52BD97E12200_.wvu.FilterData" localSheetId="0" hidden="1">現在!$A$5:$GG$7</definedName>
    <definedName name="Z_B18FEAE6_745B_4D88_96E5_27AB90650998_.wvu.FilterData" localSheetId="0" hidden="1">現在!$A$5:$GG$7</definedName>
    <definedName name="Z_B1C4A688_A16B_420A_9BCF_9BB39D7128D4_.wvu.FilterData" localSheetId="0" hidden="1">現在!$A$5:$AB$6</definedName>
    <definedName name="Z_B1CDB647_D1C4_4187_A4B5_4FDD53A117D7_.wvu.FilterData" localSheetId="0" hidden="1">現在!$A$5:$GG$6</definedName>
    <definedName name="Z_B1E7AA69_AF17_4361_A8FE_6F031A6F4A80_.wvu.FilterData" localSheetId="0" hidden="1">現在!$A$5:$GG$7</definedName>
    <definedName name="Z_B1EA715D_5D1D_4218_B273_E2413CFF9473_.wvu.FilterData" localSheetId="0" hidden="1">現在!$A$5:$GG$6</definedName>
    <definedName name="Z_B1EF8603_D5F7_4EB6_856C_E2DE6AECF830_.wvu.FilterData" localSheetId="0" hidden="1">現在!$A$5:$GG$7</definedName>
    <definedName name="Z_B248CAE8_906A_4A7A_8C08_FDB2B9A84A2D_.wvu.FilterData" localSheetId="0" hidden="1">現在!$A$5:$GG$7</definedName>
    <definedName name="Z_B24C900C_BCB8_441A_A796_5443F44008C7_.wvu.FilterData" localSheetId="0" hidden="1">現在!$A$5:$GG$6</definedName>
    <definedName name="Z_B25C4B7D_7A2C_48B7_AF69_D21BB15B4240_.wvu.FilterData" localSheetId="0" hidden="1">現在!$A$5:$GG$7</definedName>
    <definedName name="Z_B27BBFD8_4582_414A_A4FB_E59C060E1F29_.wvu.FilterData" localSheetId="0" hidden="1">現在!$A$4:$GG$7</definedName>
    <definedName name="Z_B281BDE0_4679_402E_83A6_8D64DF264EBD_.wvu.FilterData" localSheetId="0" hidden="1">現在!$A$5:$GG$6</definedName>
    <definedName name="Z_B2DCB9FF_317A_464A_A04C_5405112A1E05_.wvu.FilterData" localSheetId="0" hidden="1">現在!$A$4:$GG$7</definedName>
    <definedName name="Z_B2E4679E_169D_42CA_8476_80F4B560A854_.wvu.FilterData" localSheetId="0" hidden="1">現在!$G$5:$GG$7</definedName>
    <definedName name="Z_B2EE03B9_5C5A_4461_A276_BFD739636CD8_.wvu.FilterData" localSheetId="0" hidden="1">現在!$A$5:$GG$6</definedName>
    <definedName name="Z_B2F7D2B7_AC64_4CF4_A6C8_5FDDE0142B33_.wvu.FilterData" localSheetId="0" hidden="1">現在!$A$4:$GG$7</definedName>
    <definedName name="Z_B3067F57_3800_4AE6_BE2A_DBD320C3F5DA_.wvu.FilterData" localSheetId="0" hidden="1">現在!$A$5:$GG$6</definedName>
    <definedName name="Z_B31886FD_FF4B_477D_938A_4A0CB37A8420_.wvu.FilterData" localSheetId="0" hidden="1">現在!$A$5:$GG$7</definedName>
    <definedName name="Z_B34982A6_D44C_4689_8A50_81AB30DD3A31_.wvu.FilterData" localSheetId="0" hidden="1">現在!$A$5:$GG$6</definedName>
    <definedName name="Z_B354B229_5CC1_4D46_AC1A_D243BDDC1CB1_.wvu.FilterData" localSheetId="0" hidden="1">現在!$A$5:$AB$7</definedName>
    <definedName name="Z_B36893C5_88BA_45EE_97E2_777B666F5FCD_.wvu.FilterData" localSheetId="0" hidden="1">現在!$A$4:$GG$7</definedName>
    <definedName name="Z_B3AF6F23_4A89_4F6A_AE49_D2E8992DFB2D_.wvu.FilterData" localSheetId="0" hidden="1">現在!$A$5:$GG$7</definedName>
    <definedName name="Z_B3F23380_FA1A_4B78_9D24_F6C01632BA03_.wvu.FilterData" localSheetId="0" hidden="1">現在!$A$5:$GG$7</definedName>
    <definedName name="Z_B3F4EA8D_C778_4D4D_9A54_62573D13D930_.wvu.FilterData" localSheetId="0" hidden="1">現在!$A$5:$GG$6</definedName>
    <definedName name="Z_B40A3537_AD93_4574_9213_BFD6E3860526_.wvu.FilterData" localSheetId="0" hidden="1">現在!$A$4:$GG$7</definedName>
    <definedName name="Z_B42FEA50_00E5_4B12_B931_F359628094ED_.wvu.FilterData" localSheetId="0" hidden="1">現在!$A$5:$GG$6</definedName>
    <definedName name="Z_B44EF38D_B553_4295_9D3D_5CD0B4A045DE_.wvu.FilterData" localSheetId="0" hidden="1">現在!$A$5:$GG$6</definedName>
    <definedName name="Z_B4A98998_D24F_4E51_B7BD_A40F42B87F37_.wvu.FilterData" localSheetId="0" hidden="1">現在!$A$5:$AB$6</definedName>
    <definedName name="Z_B4A9BD71_88FF_47E0_925B_8A1FD6A49E2D_.wvu.FilterData" localSheetId="0" hidden="1">現在!$A$5:$GG$6</definedName>
    <definedName name="Z_B4F615D4_6E39_4309_9A22_7154E6022CD6_.wvu.FilterData" localSheetId="0" hidden="1">現在!$A$5:$GG$6</definedName>
    <definedName name="Z_B509A698_4CBB_4279_A734_8281D76CBDB7_.wvu.FilterData" localSheetId="0" hidden="1">現在!$W$6:$Z$6</definedName>
    <definedName name="Z_B55AB8A6_BCBD_463A_B97F_96D7544395DF_.wvu.FilterData" localSheetId="0" hidden="1">現在!$A$5:$GG$7</definedName>
    <definedName name="Z_B55F2ABA_72DE_4BFB_A564_7B235B620D75_.wvu.FilterData" localSheetId="0" hidden="1">現在!$W$6:$Z$6</definedName>
    <definedName name="Z_B59C97F6_4CBD_47E4_8A29_05D820FB0F4A_.wvu.FilterData" localSheetId="0" hidden="1">現在!$A$5:$GG$7</definedName>
    <definedName name="Z_B5D2F454_60B1_46D7_BA29_A92186F8256B_.wvu.FilterData" localSheetId="0" hidden="1">現在!$A$5:$GG$6</definedName>
    <definedName name="Z_B5F0E5B3_6766_4DA9_9B2C_2E2AAAD3995D_.wvu.FilterData" localSheetId="0" hidden="1">現在!$A$5:$GG$7</definedName>
    <definedName name="Z_B61F02AE_9516_42C0_B504_AA8A4B987579_.wvu.FilterData" localSheetId="0" hidden="1">現在!$A$5:$GG$7</definedName>
    <definedName name="Z_B62E40C3_8446_47CA_980B_5713819F2E6F_.wvu.FilterData" localSheetId="0" hidden="1">現在!$A$5:$GG$7</definedName>
    <definedName name="Z_B6421146_D0CC_4DD4_B62E_AB6202B76350_.wvu.FilterData" localSheetId="0" hidden="1">現在!$H$6:$AB$6</definedName>
    <definedName name="Z_B66BD092_0447_4668_A3EA_F79A3D6D4C52_.wvu.FilterData" localSheetId="0" hidden="1">現在!$A$5:$GG$7</definedName>
    <definedName name="Z_B6A01AA2_ED61_4D46_AE3E_866701FB63F7_.wvu.FilterData" localSheetId="0" hidden="1">現在!$A$5:$GG$6</definedName>
    <definedName name="Z_B6BA3B34_5709_4316_BE4A_A5E46952609B_.wvu.FilterData" localSheetId="0" hidden="1">現在!$A$5:$GG$7</definedName>
    <definedName name="Z_B6BC3617_14D5_407F_A95D_054444E8455B_.wvu.FilterData" localSheetId="1" hidden="1">休日設定!$A$1:$B$77</definedName>
    <definedName name="Z_B6BC3617_14D5_407F_A95D_054444E8455B_.wvu.FilterData" localSheetId="0" hidden="1">現在!$A$5:$GG$6</definedName>
    <definedName name="Z_B6BD4AAA_84ED_43B7_9FE6_896632F5040F_.wvu.FilterData" localSheetId="0" hidden="1">現在!#REF!</definedName>
    <definedName name="Z_B6C57EA8_7472_4396_9206_7D96C0CDD418_.wvu.FilterData" localSheetId="0" hidden="1">現在!$A$5:$AB$6</definedName>
    <definedName name="Z_B6CDA94A_B471_4245_B969_13A5B587353A_.wvu.FilterData" localSheetId="0" hidden="1">現在!$A$5:$GG$7</definedName>
    <definedName name="Z_B6D3DEDD_98D5_4A13_942F_B35433F65632_.wvu.FilterData" localSheetId="0" hidden="1">現在!$A$5:$GG$6</definedName>
    <definedName name="Z_B6D77E4F_A9E4_46ED_BCAD_C84FA2C75E1A_.wvu.FilterData" localSheetId="0" hidden="1">現在!$A$5:$AB$6</definedName>
    <definedName name="Z_B7391442_54C0_40F3_9E8C_0EFB304E64D7_.wvu.FilterData" localSheetId="0" hidden="1">現在!$A$5:$GG$6</definedName>
    <definedName name="Z_B73E4CAC_60C3_440D_B06E_CB513DCC044B_.wvu.FilterData" localSheetId="0" hidden="1">現在!$A$5:$GG$7</definedName>
    <definedName name="Z_B73F7C7B_0471_413C_9339_6C15CF8EAC58_.wvu.FilterData" localSheetId="0" hidden="1">現在!$A$5:$GG$7</definedName>
    <definedName name="Z_B7580C25_2EB0_4C44_BC3B_0354BD72DB90_.wvu.FilterData" localSheetId="0" hidden="1">現在!$A$5:$GG$6</definedName>
    <definedName name="Z_B77BAE8F_E43A_4D1B_B683_F21F45118913_.wvu.FilterData" localSheetId="0" hidden="1">現在!$A$4:$GG$6</definedName>
    <definedName name="Z_B7CF5E1D_2353_4F08_A89A_6E7FBE113728_.wvu.FilterData" localSheetId="0" hidden="1">現在!$A$5:$GG$6</definedName>
    <definedName name="Z_B7E1CD64_94DB_45D8_8023_71BD08BD6F77_.wvu.FilterData" localSheetId="0" hidden="1">現在!$A$5:$GG$6</definedName>
    <definedName name="Z_B7EE7F53_E8A8_41BF_A225_7CDD004E3C37_.wvu.FilterData" localSheetId="0" hidden="1">現在!$A$5:$GG$6</definedName>
    <definedName name="Z_B81DB38D_BCDF_49F8_AC1E_134A11A33735_.wvu.FilterData" localSheetId="0" hidden="1">現在!$A$5:$GG$7</definedName>
    <definedName name="Z_B88B01BF_A36F_4694_9B0B_DC2E65C13661_.wvu.FilterData" localSheetId="0" hidden="1">現在!$A$5:$GG$6</definedName>
    <definedName name="Z_B89F9EE2_BF69_4162_8526_4AF88ACA4175_.wvu.FilterData" localSheetId="0" hidden="1">現在!$A$5:$GH$6</definedName>
    <definedName name="Z_B8ABA30A_A9A8_4F2B_8AE8_E60E82141806_.wvu.FilterData" localSheetId="0" hidden="1">現在!$A$4:$GG$7</definedName>
    <definedName name="Z_B8C68CD9_0F6D_4E85_857C_DE0B7E711C5E_.wvu.FilterData" localSheetId="0" hidden="1">現在!$A$5:$GG$6</definedName>
    <definedName name="Z_B8C9EB09_B7D3_4434_B892_B2606CEAA9F6_.wvu.FilterData" localSheetId="0" hidden="1">現在!$A$5:$GG$7</definedName>
    <definedName name="Z_B8CDE153_E8DE_41E5_8757_63711EBBEF91_.wvu.FilterData" localSheetId="0" hidden="1">現在!$A$5:$GG$7</definedName>
    <definedName name="Z_B8D31A1D_022C_4586_A5BD_6C128F0C9688_.wvu.FilterData" localSheetId="0" hidden="1">現在!$A$5:$AB$6</definedName>
    <definedName name="Z_B91EA9B9_ABE0_4588_AAC2_D729222EC68A_.wvu.FilterData" localSheetId="0" hidden="1">現在!$A$5:$AB$6</definedName>
    <definedName name="Z_B95C6337_2305_4BD1_947A_81F1E95653E3_.wvu.FilterData" localSheetId="0" hidden="1">現在!$A$5:$AB$6</definedName>
    <definedName name="Z_B9B59CED_42F3_4139_94D1_1F39257ADA5F_.wvu.FilterData" localSheetId="0" hidden="1">現在!$A$5:$GG$6</definedName>
    <definedName name="Z_B9CCCBD1_D763_489B_8B13_131FD6B08170_.wvu.FilterData" localSheetId="0" hidden="1">現在!$W$5:$W$7</definedName>
    <definedName name="Z_B9D81D05_41D2_4257_8928_DCC2BC323AD2_.wvu.FilterData" localSheetId="0" hidden="1">現在!$A$4:$GG$7</definedName>
    <definedName name="Z_BA426A53_8093_4E52_A214_500219B63E21_.wvu.FilterData" localSheetId="0" hidden="1">現在!$A$5:$GG$6</definedName>
    <definedName name="Z_BA4551DE_C1F1_4C64_BEF9_33751AF06129_.wvu.FilterData" localSheetId="0" hidden="1">現在!$A$5:$GG$6</definedName>
    <definedName name="Z_BA4D519B_FE94_40FD_84D4_9B84312E6098_.wvu.FilterData" localSheetId="0" hidden="1">現在!$A$5:$GG$6</definedName>
    <definedName name="Z_BA5A459A_AE98_43CE_BE27_7D8B693BFCD7_.wvu.FilterData" localSheetId="0" hidden="1">現在!$A$5:$GG$6</definedName>
    <definedName name="Z_BA83681E_8D2C_4C4B_96F0_888E6E9A47F7_.wvu.FilterData" localSheetId="0" hidden="1">現在!$A$5:$GG$6</definedName>
    <definedName name="Z_BA9D8329_6D20_4B48_A6DB_1C81A3518800_.wvu.FilterData" localSheetId="0" hidden="1">現在!$A$5:$GG$6</definedName>
    <definedName name="Z_BAC03B3F_FA63_4023_A6DA_39566A3FF55B_.wvu.FilterData" localSheetId="0" hidden="1">現在!$A$5:$GG$7</definedName>
    <definedName name="Z_BB782E11_085F_4554_B2C3_E823251DA8F4_.wvu.FilterData" localSheetId="0" hidden="1">現在!$A$4:$GG$7</definedName>
    <definedName name="Z_BBB4281A_07F6_47A2_86EE_14400B40DB8D_.wvu.FilterData" localSheetId="0" hidden="1">現在!$A$5:$GG$6</definedName>
    <definedName name="Z_BBBC00F1_CD73_48AB_B458_E0E0102D0B58_.wvu.FilterData" localSheetId="0" hidden="1">現在!$A$5:$GG$7</definedName>
    <definedName name="Z_BBC1DB0E_40FA_4B27_988B_EA780EE29B49_.wvu.FilterData" localSheetId="0" hidden="1">現在!$A$4:$GG$7</definedName>
    <definedName name="Z_BC03545C_3E41_49A8_9EFF_EFBF6912CB66_.wvu.FilterData" localSheetId="0" hidden="1">現在!$A$5:$GG$7</definedName>
    <definedName name="Z_BC3597E8_8675_492C_9989_4EC169B52827_.wvu.FilterData" localSheetId="0" hidden="1">現在!$A$5:$GG$6</definedName>
    <definedName name="Z_BC3F0B53_462E_44B2_980E_D54A4A56747E_.wvu.FilterData" localSheetId="1" hidden="1">休日設定!$A$1:$B$77</definedName>
    <definedName name="Z_BC3F0B53_462E_44B2_980E_D54A4A56747E_.wvu.FilterData" localSheetId="0" hidden="1">現在!$A$5:$AB$6</definedName>
    <definedName name="Z_BC67ACB5_2424_4D04_AD8F_C0447B2527A5_.wvu.FilterData" localSheetId="0" hidden="1">現在!$A$5:$GG$6</definedName>
    <definedName name="Z_BC786444_8D76_40FC_A005_AAA33094949A_.wvu.FilterData" localSheetId="0" hidden="1">現在!$G$5:$GG$7</definedName>
    <definedName name="Z_BC83E810_F43E_4D55_9FF4_F995B9722537_.wvu.FilterData" localSheetId="1" hidden="1">休日設定!$A$1:$B$77</definedName>
    <definedName name="Z_BC83E810_F43E_4D55_9FF4_F995B9722537_.wvu.FilterData" localSheetId="0" hidden="1">現在!$W$5:$W$7</definedName>
    <definedName name="Z_BC9C33D8_0BAB_422D_B80F_53C40B59E1DA_.wvu.FilterData" localSheetId="0" hidden="1">現在!$A$5:$GG$7</definedName>
    <definedName name="Z_BCA4D52B_C34F_41B6_8969_CD5EA6EFACC8_.wvu.FilterData" localSheetId="0" hidden="1">現在!$A$5:$GG$6</definedName>
    <definedName name="Z_BD084C7C_0B66_403D_A475_965075B3B8C0_.wvu.FilterData" localSheetId="0" hidden="1">現在!$A$5:$GG$6</definedName>
    <definedName name="Z_BD38D4BA_4AAE_41DC_947F_0CA6829AB769_.wvu.FilterData" localSheetId="0" hidden="1">現在!$A$5:$GG$6</definedName>
    <definedName name="Z_BD42BBB8_546A_41A4_96F4_86EF9E85A610_.wvu.FilterData" localSheetId="0" hidden="1">現在!$A$5:$GG$7</definedName>
    <definedName name="Z_BD8F0800_CB22_4CFE_8705_2F54FC354641_.wvu.FilterData" localSheetId="0" hidden="1">現在!$A$5:$AB$6</definedName>
    <definedName name="Z_BD95EAC1_84D9_46D3_AD28_AF6C5B5FE3F8_.wvu.FilterData" localSheetId="0" hidden="1">現在!$A$5:$GG$6</definedName>
    <definedName name="Z_BDB2EBF7_65D3_4ABB_B101_0593562E2CA7_.wvu.FilterData" localSheetId="0" hidden="1">現在!$A$5:$GG$7</definedName>
    <definedName name="Z_BDC0F0FC_B7DD_49A3_B52F_3FA5BB5ED832_.wvu.FilterData" localSheetId="0" hidden="1">現在!$A$5:$AB$6</definedName>
    <definedName name="Z_BDCC20C9_77A0_4590_B0D0_B8787DC330FD_.wvu.FilterData" localSheetId="0" hidden="1">現在!$A$5:$GG$7</definedName>
    <definedName name="Z_BE018EF1_8591_421E_9704_1B4B096CA411_.wvu.FilterData" localSheetId="1" hidden="1">休日設定!$A$1:$B$77</definedName>
    <definedName name="Z_BE018EF1_8591_421E_9704_1B4B096CA411_.wvu.FilterData" localSheetId="0" hidden="1">現在!$A$6:$GG$7</definedName>
    <definedName name="Z_BE06B590_4778_4CE5_B7C7_543D89E87515_.wvu.FilterData" localSheetId="0" hidden="1">現在!$A$5:$GG$6</definedName>
    <definedName name="Z_BE073540_7DE1_4E68_B1A3_6497FD3EE60C_.wvu.FilterData" localSheetId="0" hidden="1">現在!$A$4:$GG$7</definedName>
    <definedName name="Z_BE31D45F_C176_4450_945B_24F312376288_.wvu.FilterData" localSheetId="0" hidden="1">現在!$A$5:$GG$7</definedName>
    <definedName name="Z_BE62848B_C9AC_4046_B343_5B4E41476094_.wvu.FilterData" localSheetId="0" hidden="1">現在!$A$5:$GG$7</definedName>
    <definedName name="Z_BE929C99_B159_435A_8F15_7AADF252AA3E_.wvu.FilterData" localSheetId="0" hidden="1">現在!$A$5:$GG$7</definedName>
    <definedName name="Z_BECD9764_D2F8_4209_8526_21C6865435EC_.wvu.FilterData" localSheetId="0" hidden="1">現在!$A$5:$GG$7</definedName>
    <definedName name="Z_BED13D16_9D70_4425_97CF_9BB94BECC1ED_.wvu.FilterData" localSheetId="0" hidden="1">現在!$A$5:$GG$6</definedName>
    <definedName name="Z_BF16976C_C592_4EEC_A8BA_33B118BEF121_.wvu.FilterData" localSheetId="0" hidden="1">現在!$A$5:$GG$6</definedName>
    <definedName name="Z_BF16B659_BE6E_4308_AA11_4F77270B3D25_.wvu.FilterData" localSheetId="0" hidden="1">現在!$A$5:$GG$6</definedName>
    <definedName name="Z_BF1D2D0B_5D55_42EA_BB6D_558366DE1979_.wvu.FilterData" localSheetId="0" hidden="1">現在!$A$5:$GH$6</definedName>
    <definedName name="Z_BF1FCCDE_B643_492F_AC03_CFF76FEAD8E4_.wvu.FilterData" localSheetId="0" hidden="1">現在!$A$5:$GG$6</definedName>
    <definedName name="Z_BF2D306A_AE96_476B_9601_601C00DD2F9A_.wvu.FilterData" localSheetId="0" hidden="1">現在!$A$5:$AB$6</definedName>
    <definedName name="Z_BF5B0806_DC60_40B6_B42F_43923F20BD9A_.wvu.FilterData" localSheetId="0" hidden="1">現在!$A$4:$GG$7</definedName>
    <definedName name="Z_BF5D744F_0AEC_46A3_9EB5_83397940D383_.wvu.FilterData" localSheetId="0" hidden="1">現在!$A$7:$GG$7</definedName>
    <definedName name="Z_BF631CD4_A3E2_4EB2_B04C_D1477A73291E_.wvu.FilterData" localSheetId="0" hidden="1">現在!$A$5:$GG$6</definedName>
    <definedName name="Z_BF8332A1_4C1D_4F23_A395_3ECFEEDAB0A6_.wvu.FilterData" localSheetId="0" hidden="1">現在!$A$4:$GG$7</definedName>
    <definedName name="Z_BFACE980_6D57_4099_8904_C74EECF727FD_.wvu.FilterData" localSheetId="1" hidden="1">休日設定!$A$1:$B$77</definedName>
    <definedName name="Z_BFACE980_6D57_4099_8904_C74EECF727FD_.wvu.FilterData" localSheetId="0" hidden="1">現在!$A$5:$GG$7</definedName>
    <definedName name="Z_BFAE47E2_0174_43D9_B831_8466FDCB97FD_.wvu.FilterData" localSheetId="0" hidden="1">現在!$A$5:$GG$6</definedName>
    <definedName name="Z_C01A6E94_93E5_420D_BFD9_0BE1451F2492_.wvu.FilterData" localSheetId="0" hidden="1">現在!$A$5:$GG$7</definedName>
    <definedName name="Z_C02082BA_1C54_4B71_B0F4_B10F2F64693D_.wvu.FilterData" localSheetId="0" hidden="1">現在!$A$5:$GG$6</definedName>
    <definedName name="Z_C028A95E_9564_45D4_BFBF_9942C76BF472_.wvu.FilterData" localSheetId="1" hidden="1">休日設定!$A$1:$B$77</definedName>
    <definedName name="Z_C028A95E_9564_45D4_BFBF_9942C76BF472_.wvu.FilterData" localSheetId="0" hidden="1">現在!$A$6:$GG$7</definedName>
    <definedName name="Z_C048E720_A690_4D93_9F40_E341ACC11266_.wvu.FilterData" localSheetId="0" hidden="1">現在!$A$4:$GG$6</definedName>
    <definedName name="Z_C052D05C_FF5B_44CD_8C17_D03014920261_.wvu.FilterData" localSheetId="0" hidden="1">現在!$A$5:$GG$7</definedName>
    <definedName name="Z_C08D0A75_B99F_4DA1_8AC7_98A1C09C60AD_.wvu.FilterData" localSheetId="0" hidden="1">現在!$A$5:$GG$6</definedName>
    <definedName name="Z_C09B895E_9159_4579_96F6_A9D755593CC3_.wvu.FilterData" localSheetId="1" hidden="1">休日設定!$A$1:$B$77</definedName>
    <definedName name="Z_C09B895E_9159_4579_96F6_A9D755593CC3_.wvu.FilterData" localSheetId="0" hidden="1">現在!$A$7:$GG$7</definedName>
    <definedName name="Z_C0A2FE15_6112_4DEF_B313_C8C409DBC5C6_.wvu.FilterData" localSheetId="0" hidden="1">現在!$A$4:$GG$7</definedName>
    <definedName name="Z_C0A4895A_2DA2_4C08_BEA1_8C71CF4B23CC_.wvu.FilterData" localSheetId="0" hidden="1">現在!$A$6:$GG$7</definedName>
    <definedName name="Z_C0D0BA75_8ECF_44D8_9571_0014B1865EC3_.wvu.Cols" localSheetId="0" hidden="1">現在!$P:$S</definedName>
    <definedName name="Z_C0D0BA75_8ECF_44D8_9571_0014B1865EC3_.wvu.FilterData" localSheetId="1" hidden="1">休日設定!$A$1:$B$77</definedName>
    <definedName name="Z_C0D0BA75_8ECF_44D8_9571_0014B1865EC3_.wvu.FilterData" localSheetId="0" hidden="1">現在!$W$5:$W$7</definedName>
    <definedName name="Z_C0E478EE_D992_48AB_A35E_B28115AF0E4E_.wvu.FilterData" localSheetId="0" hidden="1">現在!$A$4:$GG$6</definedName>
    <definedName name="Z_C0EBD49A_258F_484B_909F_2077EC7ED9C1_.wvu.FilterData" localSheetId="0" hidden="1">現在!$A$5:$GG$7</definedName>
    <definedName name="Z_C0FFE593_5F8A_40DD_B582_C3BFAA38C2B7_.wvu.FilterData" localSheetId="0" hidden="1">現在!$A$4:$GG$7</definedName>
    <definedName name="Z_C16A2CF0_37D8_4E31_936B_C41DE3EB98ED_.wvu.FilterData" localSheetId="0" hidden="1">現在!$A$5:$GG$6</definedName>
    <definedName name="Z_C16C770E_5657_46C9_BCAA_3AFC03B62C5D_.wvu.FilterData" localSheetId="0" hidden="1">現在!$A$5:$GG$6</definedName>
    <definedName name="Z_C1F8FE57_5C91_457B_978E_B690858A49A6_.wvu.FilterData" localSheetId="0" hidden="1">現在!$A$5:$GG$6</definedName>
    <definedName name="Z_C2347719_1F95_48B5_905F_7D2EFE1A41AD_.wvu.FilterData" localSheetId="0" hidden="1">現在!$A$5:$GG$6</definedName>
    <definedName name="Z_C2803819_1098_40B0_8F82_B07D7F3BABF7_.wvu.FilterData" localSheetId="0" hidden="1">現在!$A$5:$AB$6</definedName>
    <definedName name="Z_C28D2FF3_C009_4F7C_9494_A39FEA14C830_.wvu.FilterData" localSheetId="0" hidden="1">現在!$A$4:$GG$6</definedName>
    <definedName name="Z_C2ED3512_C454_4039_8CCE_BE1DD18D88F1_.wvu.FilterData" localSheetId="0" hidden="1">現在!$A$5:$GG$7</definedName>
    <definedName name="Z_C2EFBED9_33FF_46A7_A67C_1E92DBF4CCA0_.wvu.FilterData" localSheetId="0" hidden="1">現在!$A$5:$GG$6</definedName>
    <definedName name="Z_C2F0E7F4_A3C3_4EAA_AE6F_06E784028D55_.wvu.FilterData" localSheetId="0" hidden="1">現在!$A$5:$GG$7</definedName>
    <definedName name="Z_C2FFA804_AA94_44C7_A02D_30E7D7296B81_.wvu.FilterData" localSheetId="0" hidden="1">現在!$A$5:$GG$6</definedName>
    <definedName name="Z_C3262C71_AE07_49D3_B42F_DA4229127069_.wvu.FilterData" localSheetId="0" hidden="1">現在!$A$5:$GG$6</definedName>
    <definedName name="Z_C34EE7B2_10AC_4120_8EC6_4D5F7A5730B3_.wvu.FilterData" localSheetId="0" hidden="1">現在!$A$6:$GG$7</definedName>
    <definedName name="Z_C3B34760_1B55_4232_8BCD_B768A6E82A71_.wvu.FilterData" localSheetId="1" hidden="1">休日設定!$A$1:$B$77</definedName>
    <definedName name="Z_C3B34760_1B55_4232_8BCD_B768A6E82A71_.wvu.FilterData" localSheetId="0" hidden="1">現在!$A$4:$GG$7</definedName>
    <definedName name="Z_C3E2036A_F316_4D12_8E5F_D4F1499797C9_.wvu.FilterData" localSheetId="0" hidden="1">現在!$A$4:$GG$7</definedName>
    <definedName name="Z_C3E293BB_A3B4_41D8_8545_E81BFBED121C_.wvu.FilterData" localSheetId="0" hidden="1">現在!#REF!</definedName>
    <definedName name="Z_C42745A6_1588_47AA_85B3_1E20C138DCDC_.wvu.FilterData" localSheetId="0" hidden="1">現在!$A$5:$AB$6</definedName>
    <definedName name="Z_C42E4718_655A_4382_ADEE_DC8858FF692F_.wvu.FilterData" localSheetId="0" hidden="1">現在!$A$5:$AB$7</definedName>
    <definedName name="Z_C4309C8F_1FE9_43C2_A2DF_45C436C1F44F_.wvu.FilterData" localSheetId="0" hidden="1">現在!$A$5:$GH$5</definedName>
    <definedName name="Z_C43C7CAC_E3EC_4EFD_AE36_B9EF312672D9_.wvu.FilterData" localSheetId="0" hidden="1">現在!$A$5:$GG$6</definedName>
    <definedName name="Z_C4524207_76C9_4D41_BD9B_6425E0283D0F_.wvu.FilterData" localSheetId="0" hidden="1">現在!$A$5:$GG$6</definedName>
    <definedName name="Z_C48D7500_6778_4F0F_87CF_2FBEA2E2FD95_.wvu.FilterData" localSheetId="0" hidden="1">現在!$A$5:$GG$6</definedName>
    <definedName name="Z_C4AE3D87_5892_455E_A9E2_0FDB219A4FD3_.wvu.FilterData" localSheetId="0" hidden="1">現在!$A$5:$GG$7</definedName>
    <definedName name="Z_C4AE5D5C_C228_4B89_8AC3_4CDBC4D2F8BB_.wvu.FilterData" localSheetId="0" hidden="1">現在!$A$4:$GG$7</definedName>
    <definedName name="Z_C521D012_157B_4055_8EDD_8BF4CDB75B4A_.wvu.FilterData" localSheetId="0" hidden="1">現在!$A$5:$GG$7</definedName>
    <definedName name="Z_C554486F_C571_4D7D_961C_D05AE3035F0B_.wvu.FilterData" localSheetId="0" hidden="1">現在!$A$4:$GG$7</definedName>
    <definedName name="Z_C55FE075_746C_40A1_A5A0_8F69B52EB3AA_.wvu.FilterData" localSheetId="0" hidden="1">現在!$A$5:$GH$6</definedName>
    <definedName name="Z_C576968A_A2F0_45F4_94A2_4656F71D1C76_.wvu.FilterData" localSheetId="0" hidden="1">現在!$W$5:$W$7</definedName>
    <definedName name="Z_C580D195_937A_4765_8C10_F46897711982_.wvu.FilterData" localSheetId="0" hidden="1">現在!$A$5:$AB$7</definedName>
    <definedName name="Z_C58A2FAE_F3B1_4B17_A522_6DC2D4B497E4_.wvu.FilterData" localSheetId="0" hidden="1">現在!$A$5:$GG$7</definedName>
    <definedName name="Z_C5AF053B_738F_4F4E_B929_BFD5A3028D1A_.wvu.FilterData" localSheetId="0" hidden="1">現在!$A$5:$GG$7</definedName>
    <definedName name="Z_C5D89E16_BA9D_421A_B2B4_DC62871959FE_.wvu.FilterData" localSheetId="0" hidden="1">現在!$A$5:$AB$6</definedName>
    <definedName name="Z_C639103D_FC03_43BF_973F_D619593C2A76_.wvu.FilterData" localSheetId="0" hidden="1">現在!$A$5:$GG$6</definedName>
    <definedName name="Z_C63A3E26_FB5E_4B75_83D9_49563802C921_.wvu.FilterData" localSheetId="0" hidden="1">現在!$A$5:$GG$7</definedName>
    <definedName name="Z_C66FFA8E_D925_47A0_B24F_0F6ED88963BB_.wvu.FilterData" localSheetId="0" hidden="1">現在!$A$5:$GG$6</definedName>
    <definedName name="Z_C69825BD_D5ED_4067_9920_58FD772826CD_.wvu.FilterData" localSheetId="0" hidden="1">現在!$A$4:$GG$7</definedName>
    <definedName name="Z_C69A6153_CEAB_4312_A058_F685F5779B1B_.wvu.FilterData" localSheetId="0" hidden="1">現在!$A$5:$GG$7</definedName>
    <definedName name="Z_C69F879A_DB9E_4DBC_9FFA_339DD24F0539_.wvu.FilterData" localSheetId="1" hidden="1">休日設定!$A$1:$B$77</definedName>
    <definedName name="Z_C69F879A_DB9E_4DBC_9FFA_339DD24F0539_.wvu.FilterData" localSheetId="0" hidden="1">現在!$A$4:$GG$6</definedName>
    <definedName name="Z_C6A33AED_94BF_4DC0_A68A_3FCB5710CB62_.wvu.FilterData" localSheetId="0" hidden="1">現在!$A$5:$GG$6</definedName>
    <definedName name="Z_C6C2CB23_8355_4962_BD01_4511EB055E8C_.wvu.FilterData" localSheetId="0" hidden="1">現在!$A$5:$GG$7</definedName>
    <definedName name="Z_C6C87A1B_9646_4AB2_987B_9165E8490A04_.wvu.FilterData" localSheetId="0" hidden="1">現在!$A$5:$GG$6</definedName>
    <definedName name="Z_C6CE2678_CD1A_47D7_8F61_290D5ABF86FA_.wvu.FilterData" localSheetId="0" hidden="1">現在!$A$5:$AB$6</definedName>
    <definedName name="Z_C6DEB8B4_F145_459C_BA75_788899195F69_.wvu.FilterData" localSheetId="0" hidden="1">現在!$W$5:$W$7</definedName>
    <definedName name="Z_C716A6FC_D7BB_45C8_843C_49028801214C_.wvu.FilterData" localSheetId="0" hidden="1">現在!$A$5:$AB$6</definedName>
    <definedName name="Z_C72F46D9_3C01_4579_AAEF_DEBC7DDD6E3B_.wvu.FilterData" localSheetId="0" hidden="1">現在!$A$5:$AB$6</definedName>
    <definedName name="Z_C76F09E9_627E_4C95_B853_6BC7A64A13A4_.wvu.FilterData" localSheetId="0" hidden="1">現在!$A$5:$GG$6</definedName>
    <definedName name="Z_C77B3883_32E2_4F13_ADA0_DBFEF6C78A5B_.wvu.FilterData" localSheetId="0" hidden="1">現在!$A$5:$GG$6</definedName>
    <definedName name="Z_C7810491_F83B_4916_95CC_453C47A630E5_.wvu.FilterData" localSheetId="0" hidden="1">現在!$A$5:$AB$6</definedName>
    <definedName name="Z_C79EF315_E5C6_4A7C_9CA8_9D7C221E19CB_.wvu.FilterData" localSheetId="0" hidden="1">現在!$A$5:$AB$6</definedName>
    <definedName name="Z_C7EC1033_32B5_43C9_A9E4_49F6C679F46F_.wvu.FilterData" localSheetId="0" hidden="1">現在!$A$5:$GG$7</definedName>
    <definedName name="Z_C7F9D485_3EF3_4705_AB26_947359C4E5E8_.wvu.FilterData" localSheetId="0" hidden="1">現在!$A$5:$GG$6</definedName>
    <definedName name="Z_C8017382_CDF7_43A2_B401_BBD3B6A235C4_.wvu.FilterData" localSheetId="0" hidden="1">現在!$A$5:$GG$7</definedName>
    <definedName name="Z_C8083229_83B2_4272_B054_606B9F82C880_.wvu.FilterData" localSheetId="0" hidden="1">現在!$A$5:$GG$7</definedName>
    <definedName name="Z_C809270F_309D_430A_8B9A_59BBE1CBA554_.wvu.FilterData" localSheetId="0" hidden="1">現在!$A$6:$GG$7</definedName>
    <definedName name="Z_C8217538_6B88_461A_8230_95B057828AA6_.wvu.FilterData" localSheetId="0" hidden="1">現在!$A$4:$GG$7</definedName>
    <definedName name="Z_C86CBAE5_4034_4CDE_8D3A_093C3F42A7C1_.wvu.FilterData" localSheetId="0" hidden="1">現在!$A$5:$GG$6</definedName>
    <definedName name="Z_C8A8DC11_9F52_46CD_BA3B_568CFB7131AE_.wvu.FilterData" localSheetId="0" hidden="1">現在!$A$5:$GG$6</definedName>
    <definedName name="Z_C8D6A649_10C8_4D13_9465_14C0842CFBAA_.wvu.FilterData" localSheetId="0" hidden="1">現在!$G$5:$GG$7</definedName>
    <definedName name="Z_C8FD4741_B1AD_48C9_A88B_6B63F3F3F159_.wvu.FilterData" localSheetId="0" hidden="1">現在!$A$5:$GG$7</definedName>
    <definedName name="Z_C954211C_DDFD_4695_A488_C660A87C6A93_.wvu.FilterData" localSheetId="0" hidden="1">現在!$A$5:$GG$6</definedName>
    <definedName name="Z_C95DC12E_39BA_429D_A187_394C50DEFD65_.wvu.FilterData" localSheetId="0" hidden="1">現在!$A$5:$GG$6</definedName>
    <definedName name="Z_C9D2B47F_F7E9_492E_BF10_AD40DE95594E_.wvu.FilterData" localSheetId="0" hidden="1">現在!$A$5:$GG$7</definedName>
    <definedName name="Z_CA8E8141_9DA1_4147_BC3F_7FCEBE4916F4_.wvu.FilterData" localSheetId="1" hidden="1">休日設定!$A$1:$B$77</definedName>
    <definedName name="Z_CA8E8141_9DA1_4147_BC3F_7FCEBE4916F4_.wvu.FilterData" localSheetId="0" hidden="1">現在!$A$5:$GG$6</definedName>
    <definedName name="Z_CA961D1E_837A_46B4_85AB_BAA4B5900F10_.wvu.FilterData" localSheetId="0" hidden="1">現在!$W$5:$W$7</definedName>
    <definedName name="Z_CAD5AB43_5D81_4E3F_8390_211D05916778_.wvu.FilterData" localSheetId="0" hidden="1">現在!$A$5:$GG$7</definedName>
    <definedName name="Z_CAEC9053_069A_47BB_B44C_816805358EFC_.wvu.FilterData" localSheetId="0" hidden="1">現在!$A$4:$GG$7</definedName>
    <definedName name="Z_CAED4466_1B63_40C4_8D0B_BA05E205D93E_.wvu.FilterData" localSheetId="0" hidden="1">現在!$A$5:$GG$6</definedName>
    <definedName name="Z_CAF85046_D2D7_4B23_B3CA_A4DA771DC288_.wvu.FilterData" localSheetId="0" hidden="1">現在!$A$5:$AB$6</definedName>
    <definedName name="Z_CB1B6B96_715F_40BF_A5F3_FCC1E9EF8A65_.wvu.FilterData" localSheetId="0" hidden="1">現在!$A$5:$AB$6</definedName>
    <definedName name="Z_CB3407D0_F7FC_4691_9A59_C10B9F1D73F0_.wvu.FilterData" localSheetId="0" hidden="1">現在!$A$5:$GG$6</definedName>
    <definedName name="Z_CB4ECB49_D13F_4B88_8A1E_AF4B5E10B8A6_.wvu.FilterData" localSheetId="0" hidden="1">現在!$A$5:$GG$7</definedName>
    <definedName name="Z_CB518D55_C5B1_465B_B278_0C050181AA8C_.wvu.FilterData" localSheetId="0" hidden="1">現在!$A$4:$GG$7</definedName>
    <definedName name="Z_CB6CE310_BD4F_4F88_B72C_393C7A2C6B4D_.wvu.FilterData" localSheetId="0" hidden="1">現在!$A$5:$AB$6</definedName>
    <definedName name="Z_CB8D9951_F4DF_4E06_8FA0_05E560FAB331_.wvu.FilterData" localSheetId="0" hidden="1">現在!$A$5:$GG$6</definedName>
    <definedName name="Z_CBD0AF27_20EB_498A_83C2_B9F5A7B79CAD_.wvu.FilterData" localSheetId="0" hidden="1">現在!$A$5:$AB$6</definedName>
    <definedName name="Z_CBD2305D_5250_4409_A076_2C970E394CD2_.wvu.FilterData" localSheetId="0" hidden="1">現在!$A$5:$GG$7</definedName>
    <definedName name="Z_CC1A086A_574D_460F_B4A1_10A75D9305A2_.wvu.FilterData" localSheetId="0" hidden="1">現在!$A$6:$GG$7</definedName>
    <definedName name="Z_CC3CB9C6_9758_462E_8A53_9A3AD03CE339_.wvu.FilterData" localSheetId="0" hidden="1">現在!$A$5:$GG$7</definedName>
    <definedName name="Z_CC6665AA_E6B9_46DE_ADAA_72D7FBB12E41_.wvu.FilterData" localSheetId="0" hidden="1">現在!$A$5:$AB$6</definedName>
    <definedName name="Z_CC82D181_E78E_4021_8C39_562E0CCD53A9_.wvu.FilterData" localSheetId="0" hidden="1">現在!$A$5:$GG$6</definedName>
    <definedName name="Z_CD3D0782_38FD_4105_BECA_4D7B472B015B_.wvu.FilterData" localSheetId="0" hidden="1">現在!$A$5:$GG$6</definedName>
    <definedName name="Z_CD92FF68_9E3F_4CA8_9C6D_B6F710FE2141_.wvu.FilterData" localSheetId="0" hidden="1">現在!$A$5:$GG$6</definedName>
    <definedName name="Z_CDA1FE2F_F252_466E_84E5_CD234CC749B2_.wvu.FilterData" localSheetId="1" hidden="1">休日設定!$A$1:$B$77</definedName>
    <definedName name="Z_CDA1FE2F_F252_466E_84E5_CD234CC749B2_.wvu.FilterData" localSheetId="0" hidden="1">現在!$W$5:$W$7</definedName>
    <definedName name="Z_CDC95F63_6EC4_425B_A95D_937EF3AED623_.wvu.FilterData" localSheetId="0" hidden="1">現在!$A$5:$GH$6</definedName>
    <definedName name="Z_CDCA491B_0BB6_4FA0_979E_B7B74E969417_.wvu.FilterData" localSheetId="0" hidden="1">現在!$A$5:$GG$7</definedName>
    <definedName name="Z_CDE125D7_1DA7_435D_A31C_9E9769EBD52F_.wvu.FilterData" localSheetId="0" hidden="1">現在!$A$5:$GG$6</definedName>
    <definedName name="Z_CDED27FF_B653_4FA7_AB45_C31637E73DBF_.wvu.FilterData" localSheetId="0" hidden="1">現在!$A$5:$GG$7</definedName>
    <definedName name="Z_CE09A4A9_7357_4A07_8CAE_8A9EB6A64557_.wvu.FilterData" localSheetId="0" hidden="1">現在!$A$5:$GG$7</definedName>
    <definedName name="Z_CE22882A_94B4_416F_8ADA_8014D9676C08_.wvu.FilterData" localSheetId="0" hidden="1">現在!$A$5:$GG$7</definedName>
    <definedName name="Z_CE4C8907_CBC7_4854_A530_9CF46CA2A7DD_.wvu.FilterData" localSheetId="1" hidden="1">休日設定!$A$1:$B$77</definedName>
    <definedName name="Z_CE4C8907_CBC7_4854_A530_9CF46CA2A7DD_.wvu.FilterData" localSheetId="0" hidden="1">現在!$G$5:$GG$7</definedName>
    <definedName name="Z_CE74F0BB_3A76_4C95_9ED5_A8611FBD41FA_.wvu.FilterData" localSheetId="0" hidden="1">現在!$A$4:$GG$7</definedName>
    <definedName name="Z_CE7FD427_5F1B_4E83_95CD_324081C1F80B_.wvu.FilterData" localSheetId="0" hidden="1">現在!$A$5:$GG$7</definedName>
    <definedName name="Z_CE83BFE1_F4C4_4FBB_8D4F_B3B8B145113D_.wvu.FilterData" localSheetId="0" hidden="1">現在!$A$5:$GG$6</definedName>
    <definedName name="Z_CEA5C3A9_53CC_4787_88B3_91D3CFE46631_.wvu.FilterData" localSheetId="0" hidden="1">現在!$A$5:$GG$6</definedName>
    <definedName name="Z_CEBC6EF7_B6E2_46FE_BC39_C675E6F4A10D_.wvu.FilterData" localSheetId="0" hidden="1">現在!$A$5:$GG$6</definedName>
    <definedName name="Z_CEC546A6_0A25_4B66_AF3F_3FF3B4083C80_.wvu.FilterData" localSheetId="0" hidden="1">現在!$A$5:$GG$6</definedName>
    <definedName name="Z_CEF5E3C4_0CE2_4D03_B1F4_AB25A861C384_.wvu.FilterData" localSheetId="0" hidden="1">現在!$A$5:$GG$7</definedName>
    <definedName name="Z_CEFCBD40_B6E8_4D6E_A193_89AE9CA7E7FC_.wvu.FilterData" localSheetId="0" hidden="1">現在!#REF!</definedName>
    <definedName name="Z_CF0300B0_1EA1_477D_A1A1_598DF9A50166_.wvu.FilterData" localSheetId="0" hidden="1">現在!$A$5:$GG$7</definedName>
    <definedName name="Z_CF38C234_77C7_42DB_9F9F_D6B65B7DE7C0_.wvu.FilterData" localSheetId="0" hidden="1">現在!$A$6:$GG$7</definedName>
    <definedName name="Z_CF5F5A0D_529F_4022_B0C1_EBF791C9A079_.wvu.FilterData" localSheetId="0" hidden="1">現在!$A$5:$GG$7</definedName>
    <definedName name="Z_CF64C139_79A9_4ACF_9540_941FE3B1B33B_.wvu.FilterData" localSheetId="0" hidden="1">現在!$A$6:$GG$7</definedName>
    <definedName name="Z_CF988582_8137_464D_B824_0F267CC7589C_.wvu.FilterData" localSheetId="0" hidden="1">現在!$A$5:$GG$7</definedName>
    <definedName name="Z_CFB35E00_AA2A_4FBD_B864_D7791E2377F0_.wvu.FilterData" localSheetId="0" hidden="1">現在!$A$5:$GG$6</definedName>
    <definedName name="Z_CFB915B2_A3F9_4647_A260_E0772F183992_.wvu.FilterData" localSheetId="0" hidden="1">現在!$A$4:$GG$7</definedName>
    <definedName name="Z_CFE546E4_0494_4042_90F0_E66E89A69BAA_.wvu.FilterData" localSheetId="0" hidden="1">現在!$A$4:$GG$6</definedName>
    <definedName name="Z_CFF6E4A1_673C_4016_A3E6_45103E1E0DFB_.wvu.FilterData" localSheetId="0" hidden="1">現在!$A$5:$AB$6</definedName>
    <definedName name="Z_D05F48EC_40C4_401E_BB0C_9C40A4CFCB57_.wvu.FilterData" localSheetId="0" hidden="1">現在!$A$5:$GG$7</definedName>
    <definedName name="Z_D0E263CA_9D15_4D73_84EC_30F091BF7D0B_.wvu.FilterData" localSheetId="0" hidden="1">現在!$A$5:$GG$7</definedName>
    <definedName name="Z_D118705A_B894_4E61_93FE_3E20452A2DC2_.wvu.FilterData" localSheetId="0" hidden="1">現在!$A$4:$GG$7</definedName>
    <definedName name="Z_D1395601_60E8_4983_8F1B_752741A83B35_.wvu.FilterData" localSheetId="0" hidden="1">現在!$A$5:$AB$7</definedName>
    <definedName name="Z_D15561EF_540B_4486_A9CD_2DFE085690DF_.wvu.FilterData" localSheetId="0" hidden="1">現在!$A$5:$GG$7</definedName>
    <definedName name="Z_D17CFA16_DCD8_470E_B197_15DCD9D8CAAD_.wvu.FilterData" localSheetId="0" hidden="1">現在!$A$4:$GG$6</definedName>
    <definedName name="Z_D1C48D76_6BFB_4D61_91F2_ADAD920D8044_.wvu.FilterData" localSheetId="0" hidden="1">現在!$A$5:$GG$7</definedName>
    <definedName name="Z_D1DC2FCD_0772_421F_84CC_50A04FA6B990_.wvu.FilterData" localSheetId="0" hidden="1">現在!$A$5:$GG$6</definedName>
    <definedName name="Z_D1E25F94_E772_4DCE_9FC2_12B8C2D985A5_.wvu.FilterData" localSheetId="0" hidden="1">現在!$A$5:$GG$7</definedName>
    <definedName name="Z_D216066F_8A02_46F4_85BC_67544554C0CB_.wvu.FilterData" localSheetId="0" hidden="1">現在!$W$5:$W$7</definedName>
    <definedName name="Z_D244B4E2_9485_4855_ADBE_3571967755CF_.wvu.FilterData" localSheetId="0" hidden="1">現在!$A$5:$AB$6</definedName>
    <definedName name="Z_D24F8D1D_3EAC_4C49_987E_21642EA341B9_.wvu.FilterData" localSheetId="0" hidden="1">現在!$A$6:$GG$7</definedName>
    <definedName name="Z_D266281B_D071_44C4_A950_F547DE4A7357_.wvu.FilterData" localSheetId="0" hidden="1">現在!$A$5:$AB$6</definedName>
    <definedName name="Z_D2721E9A_3417_40D2_8510_17B2A1BCA4D5_.wvu.FilterData" localSheetId="0" hidden="1">現在!$A$6:$GG$7</definedName>
    <definedName name="Z_D299A904_3E94_43C6_B704_435877DBF07E_.wvu.FilterData" localSheetId="0" hidden="1">現在!$A$5:$GG$7</definedName>
    <definedName name="Z_D29F2BC9_AF37_4738_9B2B_78A87E7BFF16_.wvu.FilterData" localSheetId="0" hidden="1">現在!$A$5:$AB$6</definedName>
    <definedName name="Z_D2A049A1_0665_4290_982B_F8D31D3EC8A1_.wvu.FilterData" localSheetId="0" hidden="1">現在!$A$5:$GG$7</definedName>
    <definedName name="Z_D333E1FF_BF3F_4951_B3FA_C6746E534626_.wvu.FilterData" localSheetId="0" hidden="1">現在!$A$5:$GG$7</definedName>
    <definedName name="Z_D36D82F7_2414_4BE5_9427_466220026C14_.wvu.FilterData" localSheetId="0" hidden="1">現在!$A$4:$GG$7</definedName>
    <definedName name="Z_D38390C8_C75E_422D_A89E_E0A16E7C3451_.wvu.FilterData" localSheetId="0" hidden="1">現在!$A$5:$GG$7</definedName>
    <definedName name="Z_D3CF74E7_DA91_483E_98A2_F9679A9A7311_.wvu.FilterData" localSheetId="0" hidden="1">現在!$A$5:$GG$7</definedName>
    <definedName name="Z_D3CFE734_8DEC_44D6_B711_A7B268D59196_.wvu.FilterData" localSheetId="0" hidden="1">現在!$W$6:$Z$6</definedName>
    <definedName name="Z_D3DA7228_A2CD_424E_A8FD_B021809D3298_.wvu.FilterData" localSheetId="0" hidden="1">現在!$A$5:$AB$6</definedName>
    <definedName name="Z_D3FC9060_4B53_4570_8649_4B951E4379A4_.wvu.FilterData" localSheetId="0" hidden="1">現在!$A$5:$GG$7</definedName>
    <definedName name="Z_D442ABC0_A878_4488_BE21_BBA8E475F1F0_.wvu.FilterData" localSheetId="0" hidden="1">現在!$G$5:$GG$7</definedName>
    <definedName name="Z_D4B25E9F_A53C_46AC_9E1E_5E01B43856B7_.wvu.FilterData" localSheetId="0" hidden="1">現在!$A$4:$GG$6</definedName>
    <definedName name="Z_D4BC412B_07BF_4720_82FC_54F177C56257_.wvu.FilterData" localSheetId="0" hidden="1">現在!$A$4:$GG$7</definedName>
    <definedName name="Z_D4C6F9BB_3D6F_4998_8234_C456EB992406_.wvu.FilterData" localSheetId="0" hidden="1">現在!$A$5:$GG$7</definedName>
    <definedName name="Z_D4D9575B_8EF2_4C86_81A1_5CF3B4973CEA_.wvu.FilterData" localSheetId="0" hidden="1">現在!$A$5:$AB$6</definedName>
    <definedName name="Z_D4F7E533_7A47_479F_8343_34C43702DB53_.wvu.FilterData" localSheetId="0" hidden="1">現在!$A$5:$GG$6</definedName>
    <definedName name="Z_D550F3E7_9949_463F_A9B3_68389E338301_.wvu.FilterData" localSheetId="0" hidden="1">現在!$A$6:$GG$7</definedName>
    <definedName name="Z_D5614D7E_374B_457A_8D80_358C4D623B45_.wvu.FilterData" localSheetId="0" hidden="1">現在!$A$5:$GG$6</definedName>
    <definedName name="Z_D575EBFE_0A2C_433F_847C_52BE94125F91_.wvu.FilterData" localSheetId="0" hidden="1">現在!$A$5:$GG$7</definedName>
    <definedName name="Z_D5886871_5D1A_4B1E_9A66_21D6C4916B8C_.wvu.FilterData" localSheetId="1" hidden="1">休日設定!$A$1:$B$77</definedName>
    <definedName name="Z_D5886871_5D1A_4B1E_9A66_21D6C4916B8C_.wvu.FilterData" localSheetId="0" hidden="1">現在!$A$5:$GG$6</definedName>
    <definedName name="Z_D58F8DC1_67CC_4BA5_BF35_AAB422DBB8AC_.wvu.FilterData" localSheetId="0" hidden="1">現在!$A$5:$GG$6</definedName>
    <definedName name="Z_D5EF6A48_A90F_4D07_8ECA_7FC4F7DAC91E_.wvu.FilterData" localSheetId="0" hidden="1">現在!$W$5:$W$90</definedName>
    <definedName name="Z_D61D672C_D4C2_4EFA_AE78_20F577A74356_.wvu.FilterData" localSheetId="0" hidden="1">現在!$G$5:$GG$7</definedName>
    <definedName name="Z_D64BD3A8_9F26_4EF7_82C0_FCF52524AD99_.wvu.FilterData" localSheetId="0" hidden="1">現在!$A$5:$GG$7</definedName>
    <definedName name="Z_D66A4537_6100_4B25_B09E_5282C7B47B57_.wvu.FilterData" localSheetId="0" hidden="1">現在!$A$5:$GG$7</definedName>
    <definedName name="Z_D6C4732F_9DFA_4777_BAEC_58FAB00317E0_.wvu.FilterData" localSheetId="0" hidden="1">現在!$A$5:$GG$6</definedName>
    <definedName name="Z_D6F215AF_ACAE_4EF4_941E_968EFC62DD74_.wvu.FilterData" localSheetId="0" hidden="1">現在!$A$5:$GG$7</definedName>
    <definedName name="Z_D719ABCB_4823_4D9C_8ED1_7181C9ADF622_.wvu.FilterData" localSheetId="0" hidden="1">現在!$A$5:$GG$6</definedName>
    <definedName name="Z_D727D536_02DA_412D_9ABD_0199600FA9CF_.wvu.FilterData" localSheetId="0" hidden="1">現在!$A$5:$GG$7</definedName>
    <definedName name="Z_D727DD6B_1C84_46D8_B6B3_CB989DA588A9_.wvu.FilterData" localSheetId="0" hidden="1">現在!$A$4:$GG$7</definedName>
    <definedName name="Z_D7446595_8930_465B_B5CD_E4A7DE26B8F2_.wvu.FilterData" localSheetId="0" hidden="1">現在!$A$6:$GG$7</definedName>
    <definedName name="Z_D756BF8B_D86C_455B_A957_34904A61EB66_.wvu.FilterData" localSheetId="0" hidden="1">現在!$A$5:$GG$6</definedName>
    <definedName name="Z_D76A27DC_CD80_47DD_A884_30D6B49C75A3_.wvu.FilterData" localSheetId="0" hidden="1">現在!$A$5:$GG$7</definedName>
    <definedName name="Z_D7710501_726E_4122_A5BD_FD5A902EBB2D_.wvu.FilterData" localSheetId="0" hidden="1">現在!$A$5:$GG$6</definedName>
    <definedName name="Z_D78A7400_D468_4DBF_A2EC_9017092092E4_.wvu.FilterData" localSheetId="0" hidden="1">現在!$A$5:$GG$6</definedName>
    <definedName name="Z_D7B3A6D2_0A4B_4E2A_B343_3F6FE5333E62_.wvu.FilterData" localSheetId="0" hidden="1">現在!$A$5:$AB$6</definedName>
    <definedName name="Z_D7C40714_FA0A_45D2_AB9B_CF3B01E203B4_.wvu.FilterData" localSheetId="0" hidden="1">現在!$A$5:$GG$6</definedName>
    <definedName name="Z_D7CA13FC_CC8C_4038_AC4C_D9A1DAFC53F9_.wvu.FilterData" localSheetId="0" hidden="1">現在!$A$4:$GG$7</definedName>
    <definedName name="Z_D7D7C2BF_5EC2_4017_BC69_BB80BF59D31A_.wvu.FilterData" localSheetId="0" hidden="1">現在!$A$5:$AB$6</definedName>
    <definedName name="Z_D81A40AD_7E2B_4D3D_A113_23B87F1C49E3_.wvu.FilterData" localSheetId="0" hidden="1">現在!$W$5:$W$7</definedName>
    <definedName name="Z_D8258431_96E4_40DE_9284_F3244F59EEB8_.wvu.FilterData" localSheetId="0" hidden="1">現在!$A$5:$GG$7</definedName>
    <definedName name="Z_D8741E5B_26C5_4EB7_9F23_297D8A153C1B_.wvu.FilterData" localSheetId="0" hidden="1">現在!$A$5:$GG$7</definedName>
    <definedName name="Z_D88F225B_FDCC_47B6_98E5_451A1EFEA29B_.wvu.FilterData" localSheetId="0" hidden="1">現在!$A$4:$GG$7</definedName>
    <definedName name="Z_D89F7503_4D4D_4802_B271_98C0BDD9D56B_.wvu.FilterData" localSheetId="0" hidden="1">現在!$A$5:$GG$6</definedName>
    <definedName name="Z_D8A5BFC5_42CA_4700_A28E_753129546750_.wvu.FilterData" localSheetId="0" hidden="1">現在!$A$5:$GG$6</definedName>
    <definedName name="Z_D8CB7EB0_F4DB_4453_AAF3_6E11342097BD_.wvu.FilterData" localSheetId="0" hidden="1">現在!$A$4:$GG$7</definedName>
    <definedName name="Z_D8CC8C3E_2CC5_4A40_B86C_939983F9139B_.wvu.FilterData" localSheetId="0" hidden="1">現在!$A$5:$AB$7</definedName>
    <definedName name="Z_D8EB7608_D8E8_4932_A7B5_383E4B2B555E_.wvu.FilterData" localSheetId="0" hidden="1">現在!$A$5:$AB$6</definedName>
    <definedName name="Z_D8F04BC6_C1B9_4093_A359_A79B0E555BAE_.wvu.FilterData" localSheetId="1" hidden="1">休日設定!$A$1:$B$77</definedName>
    <definedName name="Z_D8F04BC6_C1B9_4093_A359_A79B0E555BAE_.wvu.FilterData" localSheetId="0" hidden="1">現在!$W$5:$W$7</definedName>
    <definedName name="Z_D9365285_FDB5_4472_885E_FC2B7B68E733_.wvu.FilterData" localSheetId="0" hidden="1">現在!$A$5:$GG$7</definedName>
    <definedName name="Z_D947AA13_154E_4D66_9526_D1B1552FBB42_.wvu.FilterData" localSheetId="0" hidden="1">現在!$A$5:$GG$7</definedName>
    <definedName name="Z_D9624BDE_8E75_4CF9_9CE2_4348AE7DE4A0_.wvu.FilterData" localSheetId="0" hidden="1">現在!$A$5:$GG$6</definedName>
    <definedName name="Z_D97C2176_EAF8_44B8_9BC5_462C0F71545A_.wvu.FilterData" localSheetId="0" hidden="1">現在!$A$5:$AB$6</definedName>
    <definedName name="Z_D99BF6D9_466F_47B9_80F4_689D8FDABCCA_.wvu.FilterData" localSheetId="0" hidden="1">現在!$A$5:$GG$7</definedName>
    <definedName name="Z_D9A73F12_F5C4_47AA_BBDC_DFCB6333CB79_.wvu.FilterData" localSheetId="0" hidden="1">現在!$A$5:$GG$7</definedName>
    <definedName name="Z_DA0AF522_C25E_4226_A598_3002CAE64150_.wvu.FilterData" localSheetId="0" hidden="1">現在!$A$5:$AB$6</definedName>
    <definedName name="Z_DA56398D_9FC8_4235_B398_488B1AF55F6E_.wvu.FilterData" localSheetId="0" hidden="1">現在!$A$5:$GG$7</definedName>
    <definedName name="Z_DA6328C8_6272_4A7C_BBD3_2BCDB51C4097_.wvu.FilterData" localSheetId="0" hidden="1">現在!$A$5:$GG$6</definedName>
    <definedName name="Z_DA6D7751_39E6_4343_98B8_8D9A47C42EF3_.wvu.FilterData" localSheetId="0" hidden="1">現在!$A$5:$GG$6</definedName>
    <definedName name="Z_DA729D4D_13B6_4077_A1A1_E085DAE2FA15_.wvu.FilterData" localSheetId="0" hidden="1">現在!$A$5:$GG$7</definedName>
    <definedName name="Z_DAA5FB42_06E8_4D18_A946_C7D1D07F7683_.wvu.FilterData" localSheetId="0" hidden="1">現在!$W$5:$W$7</definedName>
    <definedName name="Z_DAE354BA_FB2B_4ACB_BB1A_6D0BDE61E279_.wvu.FilterData" localSheetId="0" hidden="1">現在!$A$5:$GG$7</definedName>
    <definedName name="Z_DB692DD0_D5E7_4E35_B18F_11AAAD7D647E_.wvu.FilterData" localSheetId="0" hidden="1">現在!$A$5:$GG$6</definedName>
    <definedName name="Z_DB757A5E_A6EE_4098_A5F8_8B4CFE0C9492_.wvu.FilterData" localSheetId="1" hidden="1">休日設定!$A$1:$B$77</definedName>
    <definedName name="Z_DB757A5E_A6EE_4098_A5F8_8B4CFE0C9492_.wvu.FilterData" localSheetId="0" hidden="1">現在!$W$5:$W$7</definedName>
    <definedName name="Z_DB77A340_B5E5_49D2_9261_11558A11D99A_.wvu.FilterData" localSheetId="0" hidden="1">現在!$A$5:$AB$6</definedName>
    <definedName name="Z_DBB6EB3A_7967_4C6D_8C69_88D5E0A1EC2E_.wvu.FilterData" localSheetId="0" hidden="1">現在!$A$5:$GG$7</definedName>
    <definedName name="Z_DBDB982F_1025_4CD7_A919_F1F9BA5170C5_.wvu.FilterData" localSheetId="0" hidden="1">現在!$A$4:$GG$7</definedName>
    <definedName name="Z_DBF47CD9_7BB2_41FB_8525_39FF7ECAF7E1_.wvu.FilterData" localSheetId="0" hidden="1">現在!$A$4:$GG$7</definedName>
    <definedName name="Z_DBF6E0D2_4BC8_46D3_A14A_80705C8C2892_.wvu.FilterData" localSheetId="0" hidden="1">現在!$A$5:$GG$6</definedName>
    <definedName name="Z_DC16623E_6543_478F_9A0A_89F01B49D56E_.wvu.FilterData" localSheetId="0" hidden="1">現在!$A$5:$GG$6</definedName>
    <definedName name="Z_DCBF94FD_1472_4DCF_AFE5_B76AEF8D4295_.wvu.FilterData" localSheetId="0" hidden="1">現在!$A$5:$GG$7</definedName>
    <definedName name="Z_DD44968F_86AE_4D1E_854C_126A0FDA41F0_.wvu.FilterData" localSheetId="0" hidden="1">現在!$A$5:$GG$6</definedName>
    <definedName name="Z_DD454DDE_B440_41A6_9BA8_22EE91381F3A_.wvu.FilterData" localSheetId="0" hidden="1">現在!$A$5:$GG$6</definedName>
    <definedName name="Z_DD58020A_6D34_4B45_8015_97FCE6F4F042_.wvu.FilterData" localSheetId="0" hidden="1">現在!$A$5:$AB$6</definedName>
    <definedName name="Z_DD5AF2DA_3172_4E93_97BB_7C7B3E484C50_.wvu.FilterData" localSheetId="0" hidden="1">現在!$A$4:$GG$7</definedName>
    <definedName name="Z_DD6A1644_50FF_409D_A439_ACCCB091011E_.wvu.FilterData" localSheetId="0" hidden="1">現在!$G$5:$GG$7</definedName>
    <definedName name="Z_DD8F96C2_43B0_4B19_BFCC_F16BE15084C8_.wvu.FilterData" localSheetId="0" hidden="1">現在!$A$5:$GG$6</definedName>
    <definedName name="Z_DD972CEC_6CB4_4E3C_BC5B_14A95BB7A089_.wvu.FilterData" localSheetId="0" hidden="1">現在!$A$5:$AB$6</definedName>
    <definedName name="Z_DDA107C3_2070_4FD4_A2DA_2CFC361F32C5_.wvu.FilterData" localSheetId="0" hidden="1">現在!$A$5:$GG$7</definedName>
    <definedName name="Z_DDA34492_F557_4E02_9CF0_43BB9041145B_.wvu.FilterData" localSheetId="0" hidden="1">現在!$A$4:$GG$6</definedName>
    <definedName name="Z_DDAD9CDF_00B7_4B32_A957_D4A57360C9F3_.wvu.FilterData" localSheetId="0" hidden="1">現在!$A$5:$GG$7</definedName>
    <definedName name="Z_DE28A5D1_3AD1_49B4_BAAB_BE65C04D4A87_.wvu.FilterData" localSheetId="0" hidden="1">現在!$A$5:$GG$6</definedName>
    <definedName name="Z_DE8A4C67_4A93_42EE_AE78_926A1A3055A1_.wvu.FilterData" localSheetId="0" hidden="1">現在!$A$5:$AB$6</definedName>
    <definedName name="Z_DEB49A56_B297_4491_978A_ACBD1D82BF40_.wvu.FilterData" localSheetId="0" hidden="1">現在!$A$4:$GG$7</definedName>
    <definedName name="Z_DF476D86_C3EF_4875_AC44_BF9C64EAD652_.wvu.FilterData" localSheetId="1" hidden="1">休日設定!$A$1:$B$77</definedName>
    <definedName name="Z_DF476D86_C3EF_4875_AC44_BF9C64EAD652_.wvu.FilterData" localSheetId="0" hidden="1">現在!$A$6:$GG$7</definedName>
    <definedName name="Z_DF69294B_D9C0_4E5E_A6DF_C4F6BFEDFCFE_.wvu.FilterData" localSheetId="0" hidden="1">現在!$A$5:$GG$6</definedName>
    <definedName name="Z_DF84E05A_E66D_4F60_AA8E_CA6CBD71843E_.wvu.FilterData" localSheetId="0" hidden="1">現在!$A$5:$AB$6</definedName>
    <definedName name="Z_DF888F89_7D21_4076_9B3A_6077BF460B06_.wvu.FilterData" localSheetId="0" hidden="1">現在!$A$5:$GG$7</definedName>
    <definedName name="Z_DFAF4070_3FB8_4FB1_ABBA_73ED9B85145F_.wvu.FilterData" localSheetId="0" hidden="1">現在!$G$5:$GG$7</definedName>
    <definedName name="Z_E01B43EB_5D96_4F2F_9386_6E6FBDDFA8E7_.wvu.FilterData" localSheetId="0" hidden="1">現在!$A$5:$GG$7</definedName>
    <definedName name="Z_E033DF4E_0FD6_4E49_87FD_2A16C62314AE_.wvu.FilterData" localSheetId="0" hidden="1">現在!$A$5:$GG$7</definedName>
    <definedName name="Z_E0399370_B24B_4847_BFC8_CF8B0DC3283C_.wvu.FilterData" localSheetId="0" hidden="1">現在!$A$5:$GH$5</definedName>
    <definedName name="Z_E070BD85_6100_4DC1_9C7C_8140EA0B4A48_.wvu.FilterData" localSheetId="0" hidden="1">現在!$A$6:$GG$7</definedName>
    <definedName name="Z_E0815F26_AD53_4FF6_B156_37968E671DAD_.wvu.FilterData" localSheetId="0" hidden="1">現在!$A$5:$GG$6</definedName>
    <definedName name="Z_E0B3CC3B_8C28_4844_B829_A730E5B61D33_.wvu.FilterData" localSheetId="0" hidden="1">現在!$A$4:$GG$7</definedName>
    <definedName name="Z_E0C8FC6F_7FBB_4CF4_B2E3_26A76D989FE0_.wvu.FilterData" localSheetId="0" hidden="1">現在!$A$5:$AB$6</definedName>
    <definedName name="Z_E0EEBAE9_890F_4815_B9AD_D5D59C058503_.wvu.FilterData" localSheetId="0" hidden="1">現在!$A$5:$GG$6</definedName>
    <definedName name="Z_E16C7E69_6BC4_4CBE_A947_996D420B15A5_.wvu.FilterData" localSheetId="0" hidden="1">現在!$A$4:$GG$6</definedName>
    <definedName name="Z_E179C63B_14E8_4226_A529_FFE7B640FB1C_.wvu.FilterData" localSheetId="0" hidden="1">現在!$A$5:$GG$7</definedName>
    <definedName name="Z_E18BC771_D9D0_492F_BDE4_832DCA9CC45A_.wvu.FilterData" localSheetId="0" hidden="1">現在!$G$5:$GG$7</definedName>
    <definedName name="Z_E1B6EEA5_CAAB_4154_AA84_E4B69A9B5B0C_.wvu.FilterData" localSheetId="0" hidden="1">現在!$A$5:$GG$6</definedName>
    <definedName name="Z_E1F5A5AE_22A8_4218_9EEA_E5D397FED37E_.wvu.FilterData" localSheetId="0" hidden="1">現在!$A$5:$AB$6</definedName>
    <definedName name="Z_E2013D68_7B04_4F25_A664_F11C23A003D1_.wvu.FilterData" localSheetId="0" hidden="1">現在!$A$5:$GG$6</definedName>
    <definedName name="Z_E209E63E_1C2F_491A_BD67_1056F77495A7_.wvu.FilterData" localSheetId="0" hidden="1">現在!$A$5:$GG$7</definedName>
    <definedName name="Z_E2218CF4_F88F_4160_A7A5_564971229127_.wvu.FilterData" localSheetId="0" hidden="1">現在!$G$5:$GG$7</definedName>
    <definedName name="Z_E23F15BC_9E43_4F69_B557_86CBFF336311_.wvu.FilterData" localSheetId="0" hidden="1">現在!$A$5:$GG$6</definedName>
    <definedName name="Z_E2A31612_05F5_4EE2_AEE3_9831EECBBAC0_.wvu.FilterData" localSheetId="0" hidden="1">現在!$A$5:$GG$7</definedName>
    <definedName name="Z_E2A75CAE_539C_4E51_B19A_5270DB43AEB1_.wvu.FilterData" localSheetId="0" hidden="1">現在!$W$5:$W$7</definedName>
    <definedName name="Z_E2B82B0F_3531_4C70_BB98_6168CA9FB7E0_.wvu.FilterData" localSheetId="0" hidden="1">現在!$A$5:$GG$6</definedName>
    <definedName name="Z_E2CB6BAD_B2B2_44BD_969C_FA90E5E90CD2_.wvu.FilterData" localSheetId="0" hidden="1">現在!$A$5:$GG$7</definedName>
    <definedName name="Z_E2EB56E1_139C_4220_8899_09FB95CC43F6_.wvu.FilterData" localSheetId="0" hidden="1">現在!$A$5:$AB$6</definedName>
    <definedName name="Z_E31A8753_E1B7_425F_9199_BB5D7F2BCF79_.wvu.FilterData" localSheetId="0" hidden="1">現在!$A$5:$GG$7</definedName>
    <definedName name="Z_E31E7F7D_F223_4CE6_878F_7ACFE51E79EB_.wvu.FilterData" localSheetId="0" hidden="1">現在!$A$5:$GG$6</definedName>
    <definedName name="Z_E329ADF5_4EF9_4FD2_A3B3_1EEF51AF36A2_.wvu.FilterData" localSheetId="0" hidden="1">現在!$A$5:$GG$7</definedName>
    <definedName name="Z_E343751A_965A_4268_8F94_210FF525F26D_.wvu.FilterData" localSheetId="0" hidden="1">現在!$A$5:$GG$6</definedName>
    <definedName name="Z_E3445759_8925_4256_A968_87FFF1252232_.wvu.FilterData" localSheetId="0" hidden="1">現在!$A$5:$AB$7</definedName>
    <definedName name="Z_E34B5001_EF31_46B6_B9E1_713A720CF61D_.wvu.FilterData" localSheetId="0" hidden="1">現在!$A$5:$AB$7</definedName>
    <definedName name="Z_E3A76C2C_5FE6_4DCF_933D_F50984F4752C_.wvu.FilterData" localSheetId="0" hidden="1">現在!$A$6:$GG$7</definedName>
    <definedName name="Z_E3BCBD15_F253_4045_B31E_74FF2A198803_.wvu.FilterData" localSheetId="0" hidden="1">現在!$A$5:$GG$6</definedName>
    <definedName name="Z_E3CC0FC2_3EEE_4A41_8643_F42DC614E23E_.wvu.FilterData" localSheetId="0" hidden="1">現在!$A$5:$AB$6</definedName>
    <definedName name="Z_E426EEB2_7E09_456C_B3F7_254C5BB7085A_.wvu.FilterData" localSheetId="0" hidden="1">現在!$A$5:$GG$7</definedName>
    <definedName name="Z_E427D986_FFB4_484B_B320_5352958D406C_.wvu.FilterData" localSheetId="0" hidden="1">現在!$A$5:$GG$6</definedName>
    <definedName name="Z_E44E166C_940E_41BC_AB48_38286177D881_.wvu.FilterData" localSheetId="0" hidden="1">現在!$A$5:$GG$7</definedName>
    <definedName name="Z_E4504A9F_BDB8_42A3_B97F_91F32EBDAF36_.wvu.FilterData" localSheetId="0" hidden="1">現在!$A$5:$AB$6</definedName>
    <definedName name="Z_E4536696_4B16_4551_90C0_A1DD8CD2CD2B_.wvu.FilterData" localSheetId="0" hidden="1">現在!$A$4:$GG$7</definedName>
    <definedName name="Z_E47A7D39_B56F_4C76_BADA_41BEB4326F94_.wvu.FilterData" localSheetId="0" hidden="1">現在!$A$4:$GG$7</definedName>
    <definedName name="Z_E4A88826_7AC0_444A_B7DE_28CA50F20550_.wvu.FilterData" localSheetId="0" hidden="1">現在!$A$5:$GG$6</definedName>
    <definedName name="Z_E4AA3333_5AAA_4A48_9420_B3314600EDA4_.wvu.FilterData" localSheetId="0" hidden="1">現在!$A$5:$GG$7</definedName>
    <definedName name="Z_E4BD2262_D877_4A3F_A56B_AADB115CBC7B_.wvu.FilterData" localSheetId="0" hidden="1">現在!$A$4:$GG$7</definedName>
    <definedName name="Z_E4C903A8_F752_45B7_A169_845FE82C5211_.wvu.FilterData" localSheetId="0" hidden="1">現在!$H$6:$AB$6</definedName>
    <definedName name="Z_E4D128E0_687E_4AC3_81F4_8169AF5AF168_.wvu.FilterData" localSheetId="0" hidden="1">現在!$G$5:$GG$7</definedName>
    <definedName name="Z_E536AEDE_200F_455E_A80F_BAB68BBD36B0_.wvu.FilterData" localSheetId="0" hidden="1">現在!$A$5:$GG$6</definedName>
    <definedName name="Z_E5488832_C2AB_4A39_9FA5_DB464248FD18_.wvu.FilterData" localSheetId="0" hidden="1">現在!$A$5:$GG$7</definedName>
    <definedName name="Z_E5691605_F80A_4B46_BC01_FEC0BB463A61_.wvu.FilterData" localSheetId="0" hidden="1">現在!$A$5:$GG$7</definedName>
    <definedName name="Z_E56E9EC8_7144_4FAB_9385_1A3CD8AF5DD4_.wvu.FilterData" localSheetId="0" hidden="1">現在!$A$5:$GG$7</definedName>
    <definedName name="Z_E580BF26_CE35_4CEB_9F4D_D75189251D14_.wvu.FilterData" localSheetId="0" hidden="1">現在!$A$4:$GG$7</definedName>
    <definedName name="Z_E60731B1_ADAE_4A11_88BB_64890075B8E4_.wvu.FilterData" localSheetId="0" hidden="1">現在!$A$6:$GG$7</definedName>
    <definedName name="Z_E6101D1B_7724_4FC3_931E_61913F4A7C0C_.wvu.FilterData" localSheetId="0" hidden="1">現在!$A$5:$GG$6</definedName>
    <definedName name="Z_E6247AA9_FA98_4124_AEE2_F9D0130E6792_.wvu.FilterData" localSheetId="0" hidden="1">現在!$A$5:$GG$6</definedName>
    <definedName name="Z_E630BB37_BE75_43CF_A3E7_96ACFE729C50_.wvu.FilterData" localSheetId="0" hidden="1">現在!$A$4:$GG$7</definedName>
    <definedName name="Z_E6534F12_391A_4129_A16B_DE0EB77ADD15_.wvu.FilterData" localSheetId="0" hidden="1">現在!$A$5:$GG$6</definedName>
    <definedName name="Z_E68A040D_2F82_45C5_AFA2_C7389468CA7B_.wvu.FilterData" localSheetId="0" hidden="1">現在!$A$5:$GG$7</definedName>
    <definedName name="Z_E694BA58_EBB0_4550_AB4C_30B3CB064A62_.wvu.FilterData" localSheetId="0" hidden="1">現在!$A$5:$GG$6</definedName>
    <definedName name="Z_E6A3353F_4951_45B5_B2EF_43C3B730BB25_.wvu.FilterData" localSheetId="0" hidden="1">現在!$A$5:$AB$6</definedName>
    <definedName name="Z_E6DCAD20_DCAC_4805_ADBC_9138A1D84249_.wvu.FilterData" localSheetId="0" hidden="1">現在!$A$5:$GG$6</definedName>
    <definedName name="Z_E73020E3_1212_4A40_AA41_E614EA17EB06_.wvu.FilterData" localSheetId="0" hidden="1">現在!$A$6:$GG$7</definedName>
    <definedName name="Z_E73629D0_6625_43AD_9D23_F35592649EAC_.wvu.FilterData" localSheetId="0" hidden="1">現在!$A$5:$GG$7</definedName>
    <definedName name="Z_E7388A92_93FB_4B5D_8DBF_D204E4CFDED0_.wvu.FilterData" localSheetId="0" hidden="1">現在!$A$5:$AB$6</definedName>
    <definedName name="Z_E795F649_AB7A_4209_952A_DC2224793FC8_.wvu.FilterData" localSheetId="0" hidden="1">現在!$A$5:$GG$6</definedName>
    <definedName name="Z_E7970554_2E91_4C54_96B8_89C8C3685966_.wvu.FilterData" localSheetId="0" hidden="1">現在!$A$5:$GG$7</definedName>
    <definedName name="Z_E7CA14C2_C203_4558_A084_72708178EF0C_.wvu.FilterData" localSheetId="0" hidden="1">現在!$A$5:$GG$6</definedName>
    <definedName name="Z_E7F09F12_C506_4C5A_BB95_EDE3DBBA4D46_.wvu.FilterData" localSheetId="0" hidden="1">現在!$A$5:$GG$6</definedName>
    <definedName name="Z_E81F9042_887D_4C48_B53B_DF7355644A2E_.wvu.FilterData" localSheetId="0" hidden="1">現在!$A$4:$GG$7</definedName>
    <definedName name="Z_E847D8AF_713A_4F6F_9F69_9C2B641F3EE2_.wvu.FilterData" localSheetId="0" hidden="1">現在!$A$5:$GG$6</definedName>
    <definedName name="Z_E8612BB6_1AA8_4C81_81CB_4C865F5102EC_.wvu.FilterData" localSheetId="0" hidden="1">現在!$G$5:$GG$7</definedName>
    <definedName name="Z_E8719B4F_6D4A_47E6_B12A_029A62A6CCA9_.wvu.FilterData" localSheetId="0" hidden="1">現在!$A$5:$GG$6</definedName>
    <definedName name="Z_E8A61EE3_982B_4FD5_B624_432CD881F60A_.wvu.FilterData" localSheetId="0" hidden="1">現在!$A$5:$GG$6</definedName>
    <definedName name="Z_E8C67A8E_67A3_4069_BEE9_ECDC3A03D453_.wvu.FilterData" localSheetId="0" hidden="1">現在!$A$5:$GG$6</definedName>
    <definedName name="Z_E8D06D85_4ECB_4634_A246_50EC716D3EE3_.wvu.FilterData" localSheetId="0" hidden="1">現在!$A$5:$AB$6</definedName>
    <definedName name="Z_E8F6093E_6A69_41EF_93C1_A5E821189563_.wvu.FilterData" localSheetId="0" hidden="1">現在!$A$5:$GG$6</definedName>
    <definedName name="Z_E93933E9_E256_4EB2_9D29_5749934AD095_.wvu.FilterData" localSheetId="0" hidden="1">現在!$A$5:$GH$5</definedName>
    <definedName name="Z_E945680C_5D5D_4BCF_9D0D_8BE51A8D22A8_.wvu.FilterData" localSheetId="0" hidden="1">現在!$A$5:$GG$7</definedName>
    <definedName name="Z_E94D72BC_9DB0_4833_B210_C14008356EDC_.wvu.FilterData" localSheetId="0" hidden="1">現在!$A$5:$GG$6</definedName>
    <definedName name="Z_E97805BB_0FB8_4C33_8743_A4C1FFB1C9D3_.wvu.FilterData" localSheetId="0" hidden="1">現在!$A$5:$AB$6</definedName>
    <definedName name="Z_E98A5789_03A8_45C0_AB3D_E0026C7A7351_.wvu.FilterData" localSheetId="0" hidden="1">現在!$A$4:$GG$7</definedName>
    <definedName name="Z_E98DADC0_9AE5_4F93_9784_7D3EFA0930A4_.wvu.FilterData" localSheetId="0" hidden="1">現在!$A$4:$GG$7</definedName>
    <definedName name="Z_E9946763_5DB7_441B_B076_EE01662E5888_.wvu.FilterData" localSheetId="0" hidden="1">現在!$W$5:$W$6</definedName>
    <definedName name="Z_E9A5CDDE_AE77_41D5_9B37_ED0830862B1A_.wvu.FilterData" localSheetId="0" hidden="1">現在!$A$5:$AB$6</definedName>
    <definedName name="Z_E9CF2729_95F8_4095_AE38_21524E9F4F27_.wvu.FilterData" localSheetId="0" hidden="1">現在!$A$5:$GG$6</definedName>
    <definedName name="Z_E9F5BEE1_E06B_4669_85D0_99B69B1C3900_.wvu.FilterData" localSheetId="0" hidden="1">現在!$A$5:$GG$7</definedName>
    <definedName name="Z_EA361BCD_1CEC_4844_9639_874167785249_.wvu.FilterData" localSheetId="0" hidden="1">現在!$W$5:$W$90</definedName>
    <definedName name="Z_EA44AEB1_6377_4C90_9711_2B1101AE394D_.wvu.FilterData" localSheetId="0" hidden="1">現在!$A$4:$GG$7</definedName>
    <definedName name="Z_EA7435D0_C2E3_43D1_8615_CBB8DDDF71A7_.wvu.FilterData" localSheetId="0" hidden="1">現在!$A$5:$GG$7</definedName>
    <definedName name="Z_EA8317D1_93E0_4F59_B011_A3CA18ED9885_.wvu.FilterData" localSheetId="0" hidden="1">現在!$A$5:$GG$7</definedName>
    <definedName name="Z_EA9B276F_C267_4F94_8321_D82AE886AD36_.wvu.FilterData" localSheetId="0" hidden="1">現在!$A$5:$GG$6</definedName>
    <definedName name="Z_EAA33EA3_B10B_4B2C_AB7A_EE7EBB937274_.wvu.FilterData" localSheetId="0" hidden="1">現在!$A$5:$AB$6</definedName>
    <definedName name="Z_EAB27C0B_8D21_4044_B361_97F0FE467C49_.wvu.FilterData" localSheetId="0" hidden="1">現在!$A$5:$GG$7</definedName>
    <definedName name="Z_EAC2F5EC_4060_4B95_9979_7174E6B6626B_.wvu.FilterData" localSheetId="0" hidden="1">現在!$A$5:$GG$7</definedName>
    <definedName name="Z_EAD41B2B_8701_4CD5_98AA_8817E02E0C4F_.wvu.FilterData" localSheetId="0" hidden="1">現在!$A$4:$GG$7</definedName>
    <definedName name="Z_EAD770B3_CFF4_4614_9379_6114017B7A54_.wvu.FilterData" localSheetId="0" hidden="1">現在!$A$5:$GG$6</definedName>
    <definedName name="Z_EB24DA2A_9473_4137_9380_2F794C90569F_.wvu.FilterData" localSheetId="0" hidden="1">現在!$A$5:$AB$5</definedName>
    <definedName name="Z_EB34C028_BDD0_49B7_AA2D_7F71E3E33309_.wvu.FilterData" localSheetId="0" hidden="1">現在!$A$5:$GG$6</definedName>
    <definedName name="Z_EB3F69AF_B90C_4C65_92D5_6E69D6CF2291_.wvu.FilterData" localSheetId="0" hidden="1">現在!$A$5:$GG$6</definedName>
    <definedName name="Z_EB5DE7A3_9BF4_43E9_B82C_95791B1565D4_.wvu.FilterData" localSheetId="0" hidden="1">現在!$A$5:$GG$7</definedName>
    <definedName name="Z_EB84142B_6670_4452_A3C9_735A50017694_.wvu.FilterData" localSheetId="0" hidden="1">現在!$A$5:$GG$6</definedName>
    <definedName name="Z_EB968C22_260B_4E14_96AB_1B024F9E38C5_.wvu.FilterData" localSheetId="0" hidden="1">現在!$H$6:$AB$6</definedName>
    <definedName name="Z_EC127DBA_4DB8_43A2_B7EB_528A459F0703_.wvu.FilterData" localSheetId="0" hidden="1">現在!$A$5:$GG$6</definedName>
    <definedName name="Z_EC1404F4_668F_47C9_8BBC_731012868D1F_.wvu.FilterData" localSheetId="0" hidden="1">現在!$A$4:$GG$7</definedName>
    <definedName name="Z_ECAEF779_C12E_4669_9D86_37170CDC0A71_.wvu.FilterData" localSheetId="0" hidden="1">現在!$W$6:$Z$6</definedName>
    <definedName name="Z_ECB7B6F3_45D1_4811_9586_10FA693F4DC7_.wvu.FilterData" localSheetId="0" hidden="1">現在!$G$5:$GG$7</definedName>
    <definedName name="Z_ECC654FB_9C12_4279_B734_B18A40E987C4_.wvu.FilterData" localSheetId="0" hidden="1">現在!$A$5:$GG$7</definedName>
    <definedName name="Z_ECCEDA35_4825_4B8B_A06D_8E4A5455A045_.wvu.FilterData" localSheetId="0" hidden="1">現在!$A$5:$GG$6</definedName>
    <definedName name="Z_ECD42476_90CA_492F_BBD7_2B868132AA26_.wvu.FilterData" localSheetId="0" hidden="1">現在!$A$5:$AB$7</definedName>
    <definedName name="Z_ECDE79CC_A616_4D5D_9A3F_AD0E1FF629E2_.wvu.FilterData" localSheetId="0" hidden="1">現在!$A$5:$GG$6</definedName>
    <definedName name="Z_ECE34F6E_06E5_4524_98E8_190A12E75BA0_.wvu.FilterData" localSheetId="0" hidden="1">現在!$A$4:$GG$7</definedName>
    <definedName name="Z_ECF6C0B1_6C3C_468C_B633_A66B5766E4FD_.wvu.FilterData" localSheetId="0" hidden="1">現在!$A$5:$GG$7</definedName>
    <definedName name="Z_ED0F3377_E110_4B3A_880B_DD412C873E6A_.wvu.FilterData" localSheetId="0" hidden="1">現在!$A$5:$AB$6</definedName>
    <definedName name="Z_ED397074_19A2_4C94_84A7_A5B80EC3BC80_.wvu.FilterData" localSheetId="0" hidden="1">現在!$A$5:$GG$6</definedName>
    <definedName name="Z_ED443490_95FD_4984_81D0_DCD6DA03D3F2_.wvu.FilterData" localSheetId="0" hidden="1">現在!$A$5:$AB$6</definedName>
    <definedName name="Z_ED5DF2C4_8F2A_4B63_B89E_8B5103909F42_.wvu.FilterData" localSheetId="0" hidden="1">現在!$A$5:$GG$7</definedName>
    <definedName name="Z_ED73C110_A516_4E19_BA3B_5EB51C7E8781_.wvu.FilterData" localSheetId="0" hidden="1">現在!$A$5:$AB$6</definedName>
    <definedName name="Z_ED990D3E_7A8A_4C32_900C_3B4B1BC82BDF_.wvu.FilterData" localSheetId="0" hidden="1">現在!$A$5:$GG$7</definedName>
    <definedName name="Z_EDB7F9F1_109D_4F38_ADE1_854927F3A4DF_.wvu.FilterData" localSheetId="0" hidden="1">現在!$A$5:$GG$6</definedName>
    <definedName name="Z_EDB84137_8B80_4EA7_B519_06C98C882C49_.wvu.FilterData" localSheetId="0" hidden="1">現在!$A$5:$GG$6</definedName>
    <definedName name="Z_EDC21AD6_9244_4226_BD6F_9CCCC61B5B14_.wvu.FilterData" localSheetId="0" hidden="1">現在!$A$5:$AB$6</definedName>
    <definedName name="Z_EDDBAEC9_AADE_4514_9C1D_977FBE2CADDF_.wvu.FilterData" localSheetId="0" hidden="1">現在!#REF!</definedName>
    <definedName name="Z_EDEB5728_F2A1_4FCE_B7C4_EB862BFDD19D_.wvu.FilterData" localSheetId="0" hidden="1">現在!$A$5:$GG$7</definedName>
    <definedName name="Z_EDFDE632_83BD_4ADD_B869_832CB2B2741C_.wvu.FilterData" localSheetId="0" hidden="1">現在!$A$5:$GG$6</definedName>
    <definedName name="Z_EE00249C_AD17_497F_9B06_6CA96BF9C937_.wvu.FilterData" localSheetId="0" hidden="1">現在!$W$5:$W$7</definedName>
    <definedName name="Z_EE01544A_29C0_415B_BFEE_A8628C60583B_.wvu.FilterData" localSheetId="0" hidden="1">現在!$A$5:$GG$6</definedName>
    <definedName name="Z_EE0A9E40_5DB8_4A59_8548_CAC88DC1A7A4_.wvu.FilterData" localSheetId="0" hidden="1">現在!$A$5:$GG$7</definedName>
    <definedName name="Z_EE3DFDC7_6596_4803_8D32_6DF455D1DAC3_.wvu.FilterData" localSheetId="0" hidden="1">現在!$A$5:$AB$6</definedName>
    <definedName name="Z_EE69F63D_E92F_43BF_94EC_2FD6720D685B_.wvu.FilterData" localSheetId="0" hidden="1">現在!$H$6:$AB$6</definedName>
    <definedName name="Z_EE8E212F_5A7B_48C6_ADF6_89DA3C812ACF_.wvu.FilterData" localSheetId="0" hidden="1">現在!$A$5:$GG$7</definedName>
    <definedName name="Z_EEA57607_BA51_4308_B836_692A61C34FE4_.wvu.FilterData" localSheetId="1" hidden="1">休日設定!$A$1:$B$77</definedName>
    <definedName name="Z_EEA57607_BA51_4308_B836_692A61C34FE4_.wvu.FilterData" localSheetId="0" hidden="1">現在!$W$5:$W$7</definedName>
    <definedName name="Z_EEBF9B3D_715D_46FD_8460_077628644B05_.wvu.FilterData" localSheetId="0" hidden="1">現在!$A$5:$GG$7</definedName>
    <definedName name="Z_EEC1E168_8AFF_4494_9DD9_B27DD9275E6E_.wvu.FilterData" localSheetId="0" hidden="1">現在!$A$5:$GG$7</definedName>
    <definedName name="Z_EED06DA1_E978_4B54_952C_3B4CBED84987_.wvu.FilterData" localSheetId="0" hidden="1">現在!$A$5:$AB$6</definedName>
    <definedName name="Z_EEE81F49_40CC_4C2A_BD38_D81B14278467_.wvu.FilterData" localSheetId="0" hidden="1">現在!$A$5:$AB$6</definedName>
    <definedName name="Z_EEFFFA7B_F114_4FD1_A2A9_3F025051F916_.wvu.FilterData" localSheetId="0" hidden="1">現在!$A$5:$GG$7</definedName>
    <definedName name="Z_EF29630D_87FA_4E57_A305_68C7090DFE65_.wvu.FilterData" localSheetId="0" hidden="1">現在!$A$5:$GG$6</definedName>
    <definedName name="Z_EF2995AE_A927_4F27_A6C9_02B6CD7CA3AA_.wvu.FilterData" localSheetId="0" hidden="1">現在!$A$5:$GG$7</definedName>
    <definedName name="Z_EF3C889A_4DB0_433E_AC96_3B793600892E_.wvu.FilterData" localSheetId="0" hidden="1">現在!$A$5:$GG$6</definedName>
    <definedName name="Z_EF71E30A_5246_43BC_BAE7_97620DD02DE1_.wvu.FilterData" localSheetId="0" hidden="1">現在!$A$5:$GG$6</definedName>
    <definedName name="Z_EF870914_229A_4A18_BE88_CA95D826F0E9_.wvu.FilterData" localSheetId="0" hidden="1">現在!$A$5:$GG$7</definedName>
    <definedName name="Z_EFC79F47_9780_4006_949D_DB8915CF576A_.wvu.FilterData" localSheetId="0" hidden="1">現在!$A$5:$GG$7</definedName>
    <definedName name="Z_EFD525EB_07AA_4F41_B95C_D5D5364A5ECD_.wvu.FilterData" localSheetId="0" hidden="1">現在!$G$5:$GG$7</definedName>
    <definedName name="Z_EFED573B_8B9A_4140_90E0_1E30D40F00EA_.wvu.FilterData" localSheetId="0" hidden="1">現在!$A$5:$GG$7</definedName>
    <definedName name="Z_F0222A04_7647_4504_B9B2_66C09AB6F7A9_.wvu.FilterData" localSheetId="0" hidden="1">現在!$A$5:$GG$6</definedName>
    <definedName name="Z_F0269980_FA5C_400D_BAD9_46659AB95F68_.wvu.FilterData" localSheetId="0" hidden="1">現在!$A$5:$GG$7</definedName>
    <definedName name="Z_F02E3F22_BC8C_47C4_AA06_4781D9EFBD28_.wvu.FilterData" localSheetId="0" hidden="1">現在!$A$5:$GG$7</definedName>
    <definedName name="Z_F06618A4_D17B_42E5_9CB4_15C0E2A1A739_.wvu.FilterData" localSheetId="0" hidden="1">現在!$A$5:$AB$6</definedName>
    <definedName name="Z_F0668E8B_8DD7_4BFA_9A83_3000F3D6F2DA_.wvu.FilterData" localSheetId="0" hidden="1">現在!$W$5:$W$7</definedName>
    <definedName name="Z_F07D572A_105F_4E5E_A2F5_F43F1FE33FF2_.wvu.FilterData" localSheetId="0" hidden="1">現在!$A$5:$GG$7</definedName>
    <definedName name="Z_F0926756_F0ED_45F7_A083_87C7AA691915_.wvu.FilterData" localSheetId="0" hidden="1">現在!$A$6:$GG$7</definedName>
    <definedName name="Z_F10C5F85_6223_47DC_8834_9C7613336619_.wvu.FilterData" localSheetId="0" hidden="1">現在!$A$5:$GG$6</definedName>
    <definedName name="Z_F1883023_DC0C_44E6_AF12_479E6E0B85B6_.wvu.FilterData" localSheetId="0" hidden="1">現在!$A$5:$AB$6</definedName>
    <definedName name="Z_F1E4773E_5BB8_4123_9330_8955AB805048_.wvu.FilterData" localSheetId="0" hidden="1">現在!$A$5:$GG$7</definedName>
    <definedName name="Z_F1E8572D_CD58_4BF8_B04F_7DDDC49C3241_.wvu.FilterData" localSheetId="0" hidden="1">現在!$A$4:$GG$7</definedName>
    <definedName name="Z_F212EFFD_BE82_4F2B_A874_45B8CC830989_.wvu.FilterData" localSheetId="0" hidden="1">現在!$A$5:$GG$7</definedName>
    <definedName name="Z_F226DE15_3661_4255_B61D_3DC505CF3619_.wvu.FilterData" localSheetId="0" hidden="1">現在!$A$5:$GG$6</definedName>
    <definedName name="Z_F242A5F5_AF1E_4B43_9FC1_8565725E6A29_.wvu.FilterData" localSheetId="0" hidden="1">現在!$A$5:$GG$7</definedName>
    <definedName name="Z_F24B61F7_488A_453C_96D6_202B1675AD5F_.wvu.FilterData" localSheetId="0" hidden="1">現在!$A$5:$AB$6</definedName>
    <definedName name="Z_F2646562_618E_4584_9D13_6752FF2B8105_.wvu.FilterData" localSheetId="0" hidden="1">現在!$A$5:$GG$7</definedName>
    <definedName name="Z_F2A4424C_0916_43AC_BC9A_8A336F3426A5_.wvu.FilterData" localSheetId="0" hidden="1">現在!$A$5:$GG$7</definedName>
    <definedName name="Z_F2D4004F_AB37_4215_AEA0_E2FC980297C0_.wvu.FilterData" localSheetId="0" hidden="1">現在!$A$5:$GG$7</definedName>
    <definedName name="Z_F2DDF451_921F_4D3F_8B7F_F648074DF56C_.wvu.FilterData" localSheetId="0" hidden="1">現在!$A$5:$GG$7</definedName>
    <definedName name="Z_F2DEF7E7_E6F0_4884_B19A_8B86DDB64329_.wvu.FilterData" localSheetId="0" hidden="1">現在!$A$4:$GG$7</definedName>
    <definedName name="Z_F2EA0C4A_4CD6_4CDF_B9A0_4B47E746932A_.wvu.FilterData" localSheetId="0" hidden="1">現在!$A$5:$GG$7</definedName>
    <definedName name="Z_F2F6E34D_102D_4AD3_8053_64FE9CB19474_.wvu.FilterData" localSheetId="0" hidden="1">現在!$A$4:$GG$7</definedName>
    <definedName name="Z_F300F5BC_23FA_424D_8801_B4B3FC1412B1_.wvu.FilterData" localSheetId="0" hidden="1">現在!$A$5:$GG$6</definedName>
    <definedName name="Z_F312BCA0_135E_49D1_899A_05D700E19354_.wvu.FilterData" localSheetId="0" hidden="1">現在!$A$5:$GG$7</definedName>
    <definedName name="Z_F3574472_8255_4A98_B860_7229C393155F_.wvu.FilterData" localSheetId="0" hidden="1">現在!$A$4:$GG$7</definedName>
    <definedName name="Z_F3632AFA_CCC9_4DD0_9D73_95FB1A74D6FB_.wvu.FilterData" localSheetId="0" hidden="1">現在!$A$5:$GG$6</definedName>
    <definedName name="Z_F366566E_025F_4B2B_8D3A_60C6C2BF160B_.wvu.FilterData" localSheetId="0" hidden="1">現在!$A$5:$AB$6</definedName>
    <definedName name="Z_F3EA6E0D_5FC0_4A8E_8AFD_CFE76BE408D6_.wvu.FilterData" localSheetId="0" hidden="1">現在!$A$5:$GG$7</definedName>
    <definedName name="Z_F403FEE7_61BA_4728_9CC8_62FFA6F36CC7_.wvu.FilterData" localSheetId="0" hidden="1">現在!$A$5:$GG$6</definedName>
    <definedName name="Z_F40DCFBF_D58A_49FE_89DB_F7DD2F3FEB2A_.wvu.FilterData" localSheetId="0" hidden="1">現在!$A$5:$GG$6</definedName>
    <definedName name="Z_F44ACA10_EB4E_4303_8528_1ACF0E77D246_.wvu.FilterData" localSheetId="0" hidden="1">現在!$A$5:$AB$6</definedName>
    <definedName name="Z_F45663D9_F4EE_41F6_BA8F_4B3B935BE0F4_.wvu.FilterData" localSheetId="0" hidden="1">現在!$A$4:$GG$7</definedName>
    <definedName name="Z_F4C070C3_4757_454A_BF40_944401C9CE88_.wvu.FilterData" localSheetId="0" hidden="1">現在!$A$5:$GG$7</definedName>
    <definedName name="Z_F5148437_EF5C_43C1_9599_60E224971645_.wvu.FilterData" localSheetId="0" hidden="1">現在!$A$4:$GG$7</definedName>
    <definedName name="Z_F525E9AA_0FDD_468B_A221_FE0CE47C97D3_.wvu.FilterData" localSheetId="0" hidden="1">現在!$G$5:$GG$7</definedName>
    <definedName name="Z_F54AF647_1332_4F23_BF4E_DE1C1CD4F027_.wvu.FilterData" localSheetId="0" hidden="1">現在!$A$5:$GG$6</definedName>
    <definedName name="Z_F56809A7_9798_46A2_B48D_93B8D9283A05_.wvu.FilterData" localSheetId="1" hidden="1">休日設定!$A$1:$B$77</definedName>
    <definedName name="Z_F56809A7_9798_46A2_B48D_93B8D9283A05_.wvu.FilterData" localSheetId="0" hidden="1">現在!$W$5:$W$90</definedName>
    <definedName name="Z_F568E116_D030_45DB_AD25_8C6797FB5529_.wvu.FilterData" localSheetId="0" hidden="1">現在!$A$5:$GG$7</definedName>
    <definedName name="Z_F5750D57_A20E_45BE_90B6_41B27FF3CADD_.wvu.FilterData" localSheetId="0" hidden="1">現在!$A$5:$GG$6</definedName>
    <definedName name="Z_F5857BA4_4A7A_448C_ADCF_3BFB83DA5995_.wvu.FilterData" localSheetId="0" hidden="1">現在!$A$5:$GG$7</definedName>
    <definedName name="Z_F5DB3165_4AE4_448F_90D6_32A7F61B6717_.wvu.FilterData" localSheetId="0" hidden="1">現在!$A$5:$GG$7</definedName>
    <definedName name="Z_F5F1672D_07A2_44D9_AE9A_401EF8D9BC8D_.wvu.FilterData" localSheetId="0" hidden="1">現在!$A$5:$GG$6</definedName>
    <definedName name="Z_F6205F7A_F27E_4C72_93CF_FAEB7B5E25C2_.wvu.FilterData" localSheetId="0" hidden="1">現在!$A$5:$GG$7</definedName>
    <definedName name="Z_F650011B_F5EA_4DFF_A63C_964FD3A8DBDD_.wvu.FilterData" localSheetId="0" hidden="1">現在!#REF!</definedName>
    <definedName name="Z_F6500D8D_B592_43E0_8184_4F7ACC4E0432_.wvu.FilterData" localSheetId="0" hidden="1">現在!$A$5:$GG$7</definedName>
    <definedName name="Z_F6775D7F_69C3_476B_BEF9_BE17C46570F0_.wvu.FilterData" localSheetId="0" hidden="1">現在!$A$4:$GG$7</definedName>
    <definedName name="Z_F677F5D0_02B9_45E1_B43E_C689980DF138_.wvu.FilterData" localSheetId="0" hidden="1">現在!$A$5:$AB$6</definedName>
    <definedName name="Z_F6898BA3_341A_4856_9363_174436018C49_.wvu.FilterData" localSheetId="0" hidden="1">現在!$A$5:$AB$6</definedName>
    <definedName name="Z_F691C936_92FB_44A3_8560_B9728531673D_.wvu.FilterData" localSheetId="0" hidden="1">現在!$A$5:$AB$6</definedName>
    <definedName name="Z_F69E48E4_D5DF_4F03_9B34_A486D4BAA391_.wvu.FilterData" localSheetId="0" hidden="1">現在!$A$5:$GG$7</definedName>
    <definedName name="Z_F6B4E2F0_AAD6_4ABB_9BF7_276FF94C5995_.wvu.FilterData" localSheetId="0" hidden="1">現在!$A$5:$GG$6</definedName>
    <definedName name="Z_F6BED9B1_9E69_4032_B41E_38438FADE4A9_.wvu.FilterData" localSheetId="0" hidden="1">現在!$A$5:$GG$7</definedName>
    <definedName name="Z_F7456DE6_0CE1_462F_B211_5DBDDCA1CBC1_.wvu.FilterData" localSheetId="0" hidden="1">現在!$A$5:$AB$6</definedName>
    <definedName name="Z_F78F1D23_3A85_4DEF_9F65_22771B1EA46F_.wvu.FilterData" localSheetId="0" hidden="1">現在!$A$5:$GG$7</definedName>
    <definedName name="Z_F7FCB4ED_9400_4CE4_B80D_FA1B96D8817F_.wvu.FilterData" localSheetId="0" hidden="1">現在!$A$5:$GG$6</definedName>
    <definedName name="Z_F82AE047_15C2_462E_A8CB_16E162C0FCDC_.wvu.FilterData" localSheetId="0" hidden="1">現在!$A$5:$AB$6</definedName>
    <definedName name="Z_F831331B_C7A7_4FAA_843D_A1EF185E3EAE_.wvu.FilterData" localSheetId="0" hidden="1">現在!$A$5:$GG$7</definedName>
    <definedName name="Z_F8FAFEC2_B690_4067_9480_79648AAC84E7_.wvu.FilterData" localSheetId="0" hidden="1">現在!$A$6:$GG$7</definedName>
    <definedName name="Z_F90A5384_0F4D_4A10_8076_2E485BF6C833_.wvu.FilterData" localSheetId="0" hidden="1">現在!$A$5:$GG$7</definedName>
    <definedName name="Z_F91DFB7B_54FE_4423_B5BF_45B21619F1E6_.wvu.FilterData" localSheetId="0" hidden="1">現在!$A$5:$GG$6</definedName>
    <definedName name="Z_F9310782_E619_4F89_9019_3AE47B46C6A7_.wvu.FilterData" localSheetId="0" hidden="1">現在!$A$5:$GG$7</definedName>
    <definedName name="Z_F96757E2_961F_4283_B097_10545740C630_.wvu.FilterData" localSheetId="0" hidden="1">現在!$A$5:$GG$6</definedName>
    <definedName name="Z_F9F6800E_24C5_4728_90D6_9B8B35841A47_.wvu.FilterData" localSheetId="0" hidden="1">現在!$A$5:$GG$7</definedName>
    <definedName name="Z_FA11B3CF_4286_436A_8774_4C41D19888D4_.wvu.FilterData" localSheetId="0" hidden="1">現在!$A$5:$GG$7</definedName>
    <definedName name="Z_FA39E706_F6DD_4D23_8FDB_8499FC0FFBD9_.wvu.FilterData" localSheetId="0" hidden="1">現在!$W$5:$W$7</definedName>
    <definedName name="Z_FA3C5920_6496_4382_B1B8_00C42461BF58_.wvu.FilterData" localSheetId="0" hidden="1">現在!$A$4:$GG$7</definedName>
    <definedName name="Z_FA3E69C4_7620_4E76_89F1_A15E78496D09_.wvu.FilterData" localSheetId="0" hidden="1">現在!$A$5:$GG$6</definedName>
    <definedName name="Z_FA48F3F0_C699_42DC_BF26_C5EBE123555F_.wvu.FilterData" localSheetId="0" hidden="1">現在!$F$5:$AB$6</definedName>
    <definedName name="Z_FA66370D_A5AD_45D0_A553_F85CA41BC168_.wvu.FilterData" localSheetId="0" hidden="1">現在!$A$4:$GG$7</definedName>
    <definedName name="Z_FAA8B3B2_2A34_40C0_9460_B6F76F2B1820_.wvu.FilterData" localSheetId="0" hidden="1">現在!$A$4:$GG$7</definedName>
    <definedName name="Z_FAAF0165_F9FD_4F2C_943C_F88D936E6BE7_.wvu.FilterData" localSheetId="0" hidden="1">現在!$A$5:$GG$7</definedName>
    <definedName name="Z_FAB19B66_E78E_4658_8FF9_7193DA7661FA_.wvu.FilterData" localSheetId="0" hidden="1">現在!$A$5:$GG$6</definedName>
    <definedName name="Z_FAD26294_BA85_4A07_BF2F_4A1975C582EB_.wvu.FilterData" localSheetId="0" hidden="1">現在!$A$5:$GG$7</definedName>
    <definedName name="Z_FAE42904_AE33_4B01_8C1B_0E35E000BE58_.wvu.FilterData" localSheetId="0" hidden="1">現在!$A$4:$GG$7</definedName>
    <definedName name="Z_FAE8BBD1_A7F0_4EE5_86E6_FA7285794D1B_.wvu.FilterData" localSheetId="0" hidden="1">現在!$A$5:$GG$6</definedName>
    <definedName name="Z_FB849CFB_A7AD_44A5_B823_5B60558A9436_.wvu.FilterData" localSheetId="0" hidden="1">現在!$A$5:$GG$7</definedName>
    <definedName name="Z_FBABB63D_D73D_4BC0_8E2D_221E1C21C82C_.wvu.FilterData" localSheetId="0" hidden="1">現在!$A$5:$AB$6</definedName>
    <definedName name="Z_FBB9B138_0610_40C8_97D2_4A462A324CB6_.wvu.FilterData" localSheetId="0" hidden="1">現在!$A$5:$GG$7</definedName>
    <definedName name="Z_FBE7CA8E_0ADC_4EDC_9294_0D6EF5D8A0FB_.wvu.FilterData" localSheetId="0" hidden="1">現在!$A$5:$AB$6</definedName>
    <definedName name="Z_FC208FD6_891C_480B_8D40_FECE5FD3DE82_.wvu.FilterData" localSheetId="0" hidden="1">現在!$A$5:$GG$6</definedName>
    <definedName name="Z_FC86106F_72CC_459A_9876_7BA935C46B3C_.wvu.FilterData" localSheetId="0" hidden="1">現在!$A$5:$GG$6</definedName>
    <definedName name="Z_FC8FC1B1_E663_4E94_B42E_ED4CD4855B38_.wvu.FilterData" localSheetId="0" hidden="1">現在!$A$5:$GG$7</definedName>
    <definedName name="Z_FCA78EEF_E8CC_4DEA_8132_ADBE6C69C0CD_.wvu.FilterData" localSheetId="0" hidden="1">現在!$A$5:$GG$6</definedName>
    <definedName name="Z_FCD4EDEE_6126_42E7_AC94_E82BB9D64D2D_.wvu.FilterData" localSheetId="0" hidden="1">現在!$A$5:$GG$6</definedName>
    <definedName name="Z_FCE81FFA_ACD7_47FE_B1B0_01082CBB6B10_.wvu.FilterData" localSheetId="0" hidden="1">現在!$A$5:$AB$6</definedName>
    <definedName name="Z_FD1A812D_1A72_4439_A584_29700623FB1E_.wvu.FilterData" localSheetId="0" hidden="1">現在!$A$5:$AB$6</definedName>
    <definedName name="Z_FD31A8D0_08E3_4C94_95CB_336E9ACF5278_.wvu.FilterData" localSheetId="0" hidden="1">現在!$A$5:$AB$7</definedName>
    <definedName name="Z_FD54C09E_2E05_4E67_8780_9525CD9E9546_.wvu.FilterData" localSheetId="1" hidden="1">休日設定!$A$1:$B$77</definedName>
    <definedName name="Z_FD54C09E_2E05_4E67_8780_9525CD9E9546_.wvu.FilterData" localSheetId="0" hidden="1">現在!$A$4:$GG$7</definedName>
    <definedName name="Z_FD72CF4D_937B_48DB_8719_2B37A758917D_.wvu.FilterData" localSheetId="0" hidden="1">現在!$A$4:$GG$7</definedName>
    <definedName name="Z_FDDAC83A_53A7_4748_9A04_7AC67D4F2279_.wvu.FilterData" localSheetId="0" hidden="1">現在!$A$5:$GG$7</definedName>
    <definedName name="Z_FE57322E_7FA7_441C_9AE6_E5B673A04F34_.wvu.FilterData" localSheetId="0" hidden="1">現在!$A$5:$GG$7</definedName>
    <definedName name="Z_FE5E0072_ED58_4684_BBB9_17164F2FF3A8_.wvu.FilterData" localSheetId="0" hidden="1">現在!$A$5:$GG$6</definedName>
    <definedName name="Z_FE85FC8C_084B_46BD_9A13_15101E6D4529_.wvu.FilterData" localSheetId="0" hidden="1">現在!$A$5:$AB$6</definedName>
    <definedName name="Z_FE999724_9760_41A9_9E09_65F517E726EB_.wvu.FilterData" localSheetId="0" hidden="1">現在!$A$5:$GG$6</definedName>
    <definedName name="Z_FEB1E585_B15E_442A_A18F_1DFFB1110F17_.wvu.FilterData" localSheetId="0" hidden="1">現在!$A$5:$GG$7</definedName>
    <definedName name="Z_FEBB72E6_34DB_4B1D_B72F_F9CFA92F9CC8_.wvu.FilterData" localSheetId="0" hidden="1">現在!$A$5:$GG$6</definedName>
    <definedName name="Z_FEC34D5A_74D0_4BD1_9BEB_E9DB909FD50A_.wvu.FilterData" localSheetId="0" hidden="1">現在!$A$4:$GG$7</definedName>
    <definedName name="Z_FED4068C_FCCA_40AC_BC40_44A4069E0CC9_.wvu.FilterData" localSheetId="0" hidden="1">現在!$A$5:$AB$6</definedName>
    <definedName name="Z_FF119C57_7E97_47DE_9886_766F844B411A_.wvu.FilterData" localSheetId="0" hidden="1">現在!$A$5:$GG$7</definedName>
    <definedName name="Z_FF4CA94C_EE07_4126_B10F_A0304B1E8670_.wvu.FilterData" localSheetId="0" hidden="1">現在!$A$5:$GG$6</definedName>
    <definedName name="Z_FFAF6E61_2CCE_4855_AEF0_A53AED07CAB5_.wvu.FilterData" localSheetId="0" hidden="1">現在!$A$5:$AB$6</definedName>
    <definedName name="Z_FFCFD41F_5B79_46D2_AF21_8CEA58D8C291_.wvu.FilterData" localSheetId="0" hidden="1">現在!$A$5:$AB$6</definedName>
    <definedName name="Z_FFECF699_D14E_467C_BB0F_8BD150268BFA_.wvu.FilterData" localSheetId="0" hidden="1">現在!$A$5:$GG$6</definedName>
    <definedName name="Z_FFFB450D_CAEB_49D4_83AA_132293828116_.wvu.FilterData" localSheetId="0" hidden="1">現在!$A$5:$GG$7</definedName>
  </definedNames>
  <calcPr calcId="125725" iterateDelta="1E-4"/>
  <customWorkbookViews>
    <customWorkbookView name="MMA1B3 KSC 山崎 浩輔 - 個人用ビュー" guid="{69E5A7CD-EFA2-4E6E-B41F-90B1BC31EF03}" mergeInterval="0" personalView="1" maximized="1" xWindow="1" yWindow="1" windowWidth="1425" windowHeight="827" activeSheetId="1"/>
    <customWorkbookView name="M16087H - 個人用ビュー" guid="{07DAC1EB-CE94-4538-8255-8332175787CD}" mergeInterval="0" personalView="1" maximized="1" xWindow="1" yWindow="1" windowWidth="1207" windowHeight="776" activeSheetId="1"/>
    <customWorkbookView name="M11126H(KSC岩佐) - 個人用ビュー" guid="{09C9A710-F9DD-41B8-A31E-E1CB46AB501B}" mergeInterval="0" personalView="1" maximized="1" xWindow="1" yWindow="1" windowWidth="1276" windowHeight="807" activeSheetId="1"/>
    <customWorkbookView name="M11129H - 個人用ビュー" guid="{CDA1FE2F-F252-466E-84E5-CD234CC749B2}" mergeInterval="0" personalView="1" maximized="1" xWindow="1" yWindow="1" windowWidth="1276" windowHeight="892" activeSheetId="1"/>
    <customWorkbookView name="橋本　宣弘 - 個人用ビュー" guid="{FD54C09E-2E05-4E67-8780-9525CD9E9546}" mergeInterval="0" personalView="1" maximized="1" xWindow="1" yWindow="1" windowWidth="1276" windowHeight="776" activeSheetId="1"/>
    <customWorkbookView name="M16162H - 個人用ビュー" guid="{DB757A5E-A6EE-4098-A5F8-8B4CFE0C9492}" mergeInterval="0" personalView="1" maximized="1" xWindow="1" yWindow="1" windowWidth="1280" windowHeight="796" activeSheetId="1"/>
    <customWorkbookView name="藤井高志 - 個人用ビュー" guid="{9260E039-65E8-460E-ACE2-36A31A365F26}" mergeInterval="0" personalView="1" maximized="1" xWindow="1" yWindow="1" windowWidth="952" windowHeight="507" activeSheetId="1"/>
    <customWorkbookView name="M11125H - 個人用ビュー" guid="{63A997FA-84EA-4855-9228-1BC794D61E62}" mergeInterval="0" personalView="1" maximized="1" xWindow="1" yWindow="1" windowWidth="1276" windowHeight="776" activeSheetId="1"/>
    <customWorkbookView name="A1M4MEM112（KSC大城） - 個人用ビュー" guid="{C028A95E-9564-45D4-BFBF-9942C76BF472}" mergeInterval="0" personalView="1" maximized="1" windowWidth="1221" windowHeight="710" tabRatio="730" activeSheetId="1"/>
    <customWorkbookView name="M10069G - 個人用ビュー" guid="{C69F879A-DB9E-4DBC-9FFA-339DD24F0539}" mergeInterval="0" personalView="1" maximized="1" windowWidth="1236" windowHeight="830" activeSheetId="1"/>
    <customWorkbookView name="M16085H - 個人用ビュー" guid="{BFACE980-6D57-4099-8904-C74EECF727FD}" mergeInterval="0" personalView="1" maximized="1" windowWidth="1276" windowHeight="800" activeSheetId="1"/>
    <customWorkbookView name="A1M4MEM112（KSC大城） - 個人用ビュー (2)" guid="{C1A11CA5-772F-459F-A0FA-32EF20F994F9}" mergeInterval="0" personalView="1" maximized="1" windowWidth="1206" windowHeight="741" tabRatio="730" activeSheetId="1"/>
    <customWorkbookView name="A1M4MEM113(藤田智城) - 個人用ビュー" guid="{0C72BABD-E748-4894-A415-2168E7A2134A}" mergeInterval="0" personalView="1" maximized="1" windowWidth="1276" windowHeight="850" tabRatio="730" activeSheetId="1"/>
    <customWorkbookView name="WM10754 - 個人用ビュー" guid="{CE4C8907-CBC7-4854-A530-9CF46CA2A7DD}" mergeInterval="0" personalView="1" maximized="1" windowWidth="1276" windowHeight="823" activeSheetId="1"/>
    <customWorkbookView name="wm10756 - 個人用ビュー" guid="{9746F60D-D3E7-47F3-9913-26D5EEF00622}" mergeInterval="0" personalView="1" maximized="1" windowWidth="1249" windowHeight="770" activeSheetId="1"/>
    <customWorkbookView name="M10111G （KSC 大矢　智彦） - 個人用ビュー (2)" guid="{304DC8AF-C9AF-4E2F-8E56-D99A88FE8137}" mergeInterval="0" personalView="1" maximized="1" xWindow="1" yWindow="1" windowWidth="1276" windowHeight="806" activeSheetId="1"/>
    <customWorkbookView name="橋本　宣弘 - 個人用ビュー (2)" guid="{5CEDEA4D-51CC-41CC-902B-FF594F3F1BDC}" mergeInterval="0" personalView="1" maximized="1" xWindow="1" yWindow="1" windowWidth="1276" windowHeight="776" activeSheetId="1"/>
    <customWorkbookView name="A1B5MEM58（KSC井上） - 個人用ビュー" guid="{20FF42F6-82A1-406C-AD26-8B7D5C57A52F}" mergeInterval="0" personalView="1" maximized="1" windowWidth="1276" windowHeight="851" activeSheetId="1" showComments="commIndAndComment"/>
    <customWorkbookView name="MM38866 - 個人用ビュー" guid="{95F1E425-69D2-4897-982C-CB9331AE2B48}" mergeInterval="0" personalView="1" maximized="1" windowWidth="1276" windowHeight="845" activeSheetId="1"/>
    <customWorkbookView name="MM39207 - 個人用ビュー" guid="{32FC87F8-F422-4946-966C-9E988A3A43DF}" mergeInterval="0" personalView="1" maximized="1" windowWidth="1276" windowHeight="823" activeSheetId="1"/>
    <customWorkbookView name="KSC 廣畑 - 個人用ビュー" guid="{7EF399A2-2BB6-4D3C-BE42-7C9A4515DDDE}" mergeInterval="0" personalView="1" maximized="1" xWindow="1" yWindow="1" windowWidth="1276" windowHeight="776" activeSheetId="1"/>
    <customWorkbookView name="M10112G(KSC 冨田) - 個人用ビュー" guid="{8FD23EE0-A098-47F3-8035-623208B54197}" mergeInterval="0" personalView="1" maximized="1" xWindow="1" yWindow="1" windowWidth="1276" windowHeight="882" activeSheetId="1"/>
    <customWorkbookView name="wm10755 - 個人用ビュー" guid="{05D40356-079D-4395-873D-431DCC2CAE6F}" mergeInterval="0" personalView="1" maximized="1" windowWidth="1276" windowHeight="879" activeSheetId="1"/>
    <customWorkbookView name="M10111G （KSC 大矢　智彦） - 個人用ビュー" guid="{0D6CEE61-0FA8-4924-B1C2-7CE21EF388E0}" mergeInterval="0" personalView="1" maximized="1" xWindow="1" yWindow="1" windowWidth="1276" windowHeight="806" activeSheetId="1"/>
    <customWorkbookView name="M10083G - 個人用ビュー" guid="{C4AED352-7CD8-49A0-97E6-380EC2528233}" mergeInterval="0" personalView="1" maximized="1" windowWidth="1276" windowHeight="826" activeSheetId="1"/>
    <customWorkbookView name="M11130H - 個人用ビュー" guid="{ABF9ADC9-B37F-4971-9003-01999D68CC26}" mergeInterval="0" personalView="1" maximized="1" windowWidth="1276" windowHeight="826" activeSheetId="1"/>
    <customWorkbookView name="A1B5MEM61(KSC森) - 個人用ビュー" guid="{A6CF0832-EA0E-4563-BD30-D95361788638}" mergeInterval="0" personalView="1" maximized="1" windowWidth="1224" windowHeight="889" activeSheetId="1"/>
    <customWorkbookView name="A1B5MEM14（四方） - 個人用ビュー" guid="{C09B895E-9159-4579-96F6-A9D755593CC3}" mergeInterval="0" personalView="1" maximized="1" windowWidth="1276" windowHeight="699" activeSheetId="1"/>
    <customWorkbookView name="M16086H - 個人用ビュー" guid="{775A6EE9-0B73-4472-BAF3-736B08F2D0FF}" mergeInterval="0" personalView="1" maximized="1" xWindow="1" yWindow="1" windowWidth="1280" windowHeight="806" activeSheetId="1"/>
    <customWorkbookView name="MMA1B3 KSC 井上 拓郎 - 個人用ビュー" guid="{C0D0BA75-8ECF-44D8-9571-0014B1865EC3}" mergeInterval="0" personalView="1" maximized="1" xWindow="1" yWindow="1" windowWidth="1276" windowHeight="806" activeSheetId="1"/>
    <customWorkbookView name="M16134H (Takeuchi) - 個人用ビュー" guid="{74A5E3CE-15E8-4CA5-BF49-BEDF396BB955}" mergeInterval="0" personalView="1" maximized="1" xWindow="1" yWindow="1" windowWidth="1280" windowHeight="806" activeSheetId="1"/>
    <customWorkbookView name="M16162H（KSC津田） - 個人用ビュー" guid="{EEA57607-BA51-4308-B836-692A61C34FE4}" mergeInterval="0" personalView="1" maximized="1" xWindow="1" yWindow="1" windowWidth="972" windowHeight="770" activeSheetId="1"/>
    <customWorkbookView name="羽柴　隆史 - 個人用ビュー" guid="{BC83E810-F43E-4D55-9FF4-F995B9722537}" mergeInterval="0" personalView="1" maximized="1" xWindow="1" yWindow="1" windowWidth="1280" windowHeight="806" activeSheetId="1"/>
    <customWorkbookView name="MMA1B3 KSC 四方 弘和 - 個人用ビュー" guid="{D12B3FE7-8AE8-4D24-AE0F-2E0BA365C3FB}" mergeInterval="0" personalView="1" includePrintSettings="0" includeHiddenRowCol="0" maximized="1" xWindow="1" yWindow="1" windowWidth="1280" windowHeight="708" activeSheetId="1"/>
    <customWorkbookView name="M10081G - 個人用ビュー" guid="{234CC68A-C986-4622-87AC-690C5B8DF23E}" mergeInterval="0" personalView="1" maximized="1" xWindow="1" yWindow="1" windowWidth="1280" windowHeight="802" activeSheetId="1"/>
    <customWorkbookView name="M11127H - 個人用ビュー" guid="{A29CC1F7-9AAC-4E97-9617-4A0F8C63959D}" mergeInterval="0" personalView="1" maximized="1" xWindow="1" yWindow="1" windowWidth="1276" windowHeight="772" activeSheetId="1"/>
    <customWorkbookView name="M11125H KSC 藤井高志 - 個人用ビュー" guid="{D8F04BC6-C1B9-4093-A359-A79B0E555BAE}" mergeInterval="0" personalView="1" maximized="1" xWindow="1" yWindow="1" windowWidth="1276" windowHeight="776" activeSheetId="1"/>
    <customWorkbookView name="KSC 四方 弘和 - 個人用ビュー" guid="{9F5EFB95-D083-4C81-8F9A-64900C39821A}" mergeInterval="0" personalView="1" maximized="1" xWindow="1" yWindow="1" windowWidth="1920" windowHeight="828" activeSheetId="1"/>
    <customWorkbookView name="MMA1B3 KSC 大城 正明 - 個人用ビュー" guid="{F56809A7-9798-46A2-B48D-93B8D9283A05}" mergeInterval="0" personalView="1" maximized="1" xWindow="1" yWindow="1" windowWidth="1700" windowHeight="796" activeSheetId="1"/>
    <customWorkbookView name="MMA1B3 三浦　一仁 - 個人用ビュー" guid="{72746006-79BE-434E-8086-C6AB5C5D2585}" mergeInterval="0" personalView="1" maximized="1" xWindow="1" yWindow="1" windowWidth="1920" windowHeight="862" activeSheetId="1"/>
  </customWorkbookViews>
  <fileRecoveryPr autoRecover="0"/>
</workbook>
</file>

<file path=xl/calcChain.xml><?xml version="1.0" encoding="utf-8"?>
<calcChain xmlns="http://schemas.openxmlformats.org/spreadsheetml/2006/main">
  <c r="AB53" i="1"/>
  <c r="Z53" s="1"/>
  <c r="E53"/>
  <c r="D53"/>
  <c r="C53"/>
  <c r="B53"/>
  <c r="A53"/>
  <c r="AB47"/>
  <c r="Z47" s="1"/>
  <c r="E47"/>
  <c r="D47"/>
  <c r="C47"/>
  <c r="B47"/>
  <c r="A47"/>
  <c r="AB46"/>
  <c r="Z46" s="1"/>
  <c r="E46"/>
  <c r="D46"/>
  <c r="C46"/>
  <c r="B46"/>
  <c r="A46"/>
  <c r="AB43"/>
  <c r="Z43" s="1"/>
  <c r="E43"/>
  <c r="D43"/>
  <c r="C43"/>
  <c r="B43"/>
  <c r="A43"/>
  <c r="AB54"/>
  <c r="Z54" s="1"/>
  <c r="E54"/>
  <c r="D54"/>
  <c r="C54"/>
  <c r="B54"/>
  <c r="A54"/>
  <c r="AB26"/>
  <c r="Z26" s="1"/>
  <c r="E26"/>
  <c r="D26"/>
  <c r="C26"/>
  <c r="B26"/>
  <c r="A26"/>
  <c r="AB13"/>
  <c r="Z13" s="1"/>
  <c r="E13"/>
  <c r="D13"/>
  <c r="C13"/>
  <c r="B13"/>
  <c r="A13"/>
  <c r="AB12"/>
  <c r="Z12" s="1"/>
  <c r="E12"/>
  <c r="D12"/>
  <c r="C12"/>
  <c r="B12"/>
  <c r="A12"/>
  <c r="AB21"/>
  <c r="Z21" s="1"/>
  <c r="E21"/>
  <c r="D21"/>
  <c r="C21"/>
  <c r="B21"/>
  <c r="A21"/>
  <c r="AB87"/>
  <c r="Z87" s="1"/>
  <c r="E87"/>
  <c r="D87"/>
  <c r="C87"/>
  <c r="B87"/>
  <c r="A87"/>
  <c r="AB51" l="1"/>
  <c r="Z51" s="1"/>
  <c r="E51"/>
  <c r="D51"/>
  <c r="C51"/>
  <c r="B51"/>
  <c r="A51"/>
  <c r="AB42" l="1"/>
  <c r="Z42" s="1"/>
  <c r="E42"/>
  <c r="D42"/>
  <c r="C42"/>
  <c r="B42"/>
  <c r="A42"/>
  <c r="AB41"/>
  <c r="Z41" s="1"/>
  <c r="E41"/>
  <c r="D41"/>
  <c r="C41"/>
  <c r="B41"/>
  <c r="A41"/>
  <c r="AB64"/>
  <c r="Z64" s="1"/>
  <c r="E64"/>
  <c r="D64"/>
  <c r="C64"/>
  <c r="B64"/>
  <c r="A64"/>
  <c r="AB91" l="1"/>
  <c r="Z91" s="1"/>
  <c r="E91"/>
  <c r="D91"/>
  <c r="C91"/>
  <c r="B91"/>
  <c r="A91"/>
  <c r="AB45" l="1"/>
  <c r="Z45" s="1"/>
  <c r="Z44" s="1"/>
  <c r="E45"/>
  <c r="D45"/>
  <c r="C45"/>
  <c r="B45"/>
  <c r="A45"/>
  <c r="E44"/>
  <c r="D44"/>
  <c r="C44"/>
  <c r="B44"/>
  <c r="A44"/>
  <c r="AB30"/>
  <c r="Z30" s="1"/>
  <c r="E30"/>
  <c r="D30"/>
  <c r="C30"/>
  <c r="B30"/>
  <c r="A30"/>
  <c r="AB25"/>
  <c r="Z25" s="1"/>
  <c r="E25"/>
  <c r="D25"/>
  <c r="C25"/>
  <c r="B25"/>
  <c r="A25"/>
  <c r="AB20"/>
  <c r="Z20" s="1"/>
  <c r="E20"/>
  <c r="D20"/>
  <c r="C20"/>
  <c r="B20"/>
  <c r="A20"/>
  <c r="AB19"/>
  <c r="Z19" s="1"/>
  <c r="E19"/>
  <c r="D19"/>
  <c r="C19"/>
  <c r="B19"/>
  <c r="A19"/>
  <c r="AB11"/>
  <c r="Z11" s="1"/>
  <c r="E11"/>
  <c r="D11"/>
  <c r="C11"/>
  <c r="B11"/>
  <c r="A11"/>
  <c r="AB86" l="1"/>
  <c r="Z86" s="1"/>
  <c r="E86"/>
  <c r="D86"/>
  <c r="C86"/>
  <c r="B86"/>
  <c r="A86"/>
  <c r="AB85"/>
  <c r="Z85" s="1"/>
  <c r="E85"/>
  <c r="D85"/>
  <c r="C85"/>
  <c r="B85"/>
  <c r="A85"/>
  <c r="AB68"/>
  <c r="Z68" s="1"/>
  <c r="E68"/>
  <c r="D68"/>
  <c r="C68"/>
  <c r="B68"/>
  <c r="A68"/>
  <c r="AB63"/>
  <c r="Z63" s="1"/>
  <c r="E63"/>
  <c r="D63"/>
  <c r="C63"/>
  <c r="B63"/>
  <c r="A63"/>
  <c r="AB62"/>
  <c r="Z62" s="1"/>
  <c r="E62"/>
  <c r="D62"/>
  <c r="C62"/>
  <c r="B62"/>
  <c r="A62"/>
  <c r="A58"/>
  <c r="AB83"/>
  <c r="Z83" s="1"/>
  <c r="E83"/>
  <c r="D83"/>
  <c r="C83"/>
  <c r="B83"/>
  <c r="A83"/>
  <c r="D58"/>
  <c r="AB58"/>
  <c r="Z58" s="1"/>
  <c r="AB73"/>
  <c r="Z73" s="1"/>
  <c r="Z72" s="1"/>
  <c r="E73"/>
  <c r="D73"/>
  <c r="C73"/>
  <c r="B73"/>
  <c r="A73"/>
  <c r="E72"/>
  <c r="D72"/>
  <c r="C72"/>
  <c r="B72"/>
  <c r="A72"/>
  <c r="AC6"/>
  <c r="AB67"/>
  <c r="Z67" s="1"/>
  <c r="E67"/>
  <c r="D67"/>
  <c r="C67"/>
  <c r="B67"/>
  <c r="A67"/>
  <c r="AB84"/>
  <c r="Z84" s="1"/>
  <c r="E84"/>
  <c r="D84"/>
  <c r="C84"/>
  <c r="B84"/>
  <c r="A84"/>
  <c r="AB82"/>
  <c r="Z82" s="1"/>
  <c r="E82"/>
  <c r="D82"/>
  <c r="C82"/>
  <c r="B82"/>
  <c r="A82"/>
  <c r="AB81"/>
  <c r="Z81" s="1"/>
  <c r="E81"/>
  <c r="D81"/>
  <c r="C81"/>
  <c r="B81"/>
  <c r="A81"/>
  <c r="AB80"/>
  <c r="Z80" s="1"/>
  <c r="E80"/>
  <c r="D80"/>
  <c r="C80"/>
  <c r="B80"/>
  <c r="A80"/>
  <c r="AB79"/>
  <c r="Z79" s="1"/>
  <c r="E79"/>
  <c r="D79"/>
  <c r="C79"/>
  <c r="B79"/>
  <c r="A79"/>
  <c r="AB78"/>
  <c r="Z78" s="1"/>
  <c r="E78"/>
  <c r="D78"/>
  <c r="C78"/>
  <c r="B78"/>
  <c r="A78"/>
  <c r="AB77"/>
  <c r="Z77" s="1"/>
  <c r="E77"/>
  <c r="D77"/>
  <c r="C77"/>
  <c r="B77"/>
  <c r="A77"/>
  <c r="AB76"/>
  <c r="Z76" s="1"/>
  <c r="E76"/>
  <c r="D76"/>
  <c r="C76"/>
  <c r="B76"/>
  <c r="A76"/>
  <c r="AB74"/>
  <c r="F74"/>
  <c r="D74"/>
  <c r="C74"/>
  <c r="B74"/>
  <c r="A74"/>
  <c r="A60"/>
  <c r="B60"/>
  <c r="C60"/>
  <c r="D60"/>
  <c r="E60"/>
  <c r="AB61"/>
  <c r="Z61" s="1"/>
  <c r="E61"/>
  <c r="D61"/>
  <c r="C61"/>
  <c r="B61"/>
  <c r="A61"/>
  <c r="AB66"/>
  <c r="Z66" s="1"/>
  <c r="E66"/>
  <c r="D66"/>
  <c r="C66"/>
  <c r="B66"/>
  <c r="A66"/>
  <c r="AB59"/>
  <c r="Z59" s="1"/>
  <c r="E59"/>
  <c r="D59"/>
  <c r="C59"/>
  <c r="B59"/>
  <c r="A59"/>
  <c r="AB57"/>
  <c r="Z57" s="1"/>
  <c r="E57"/>
  <c r="D57"/>
  <c r="C57"/>
  <c r="B57"/>
  <c r="A57"/>
  <c r="AB56"/>
  <c r="Z56" s="1"/>
  <c r="E56"/>
  <c r="D56"/>
  <c r="C56"/>
  <c r="B56"/>
  <c r="A56"/>
  <c r="AB55"/>
  <c r="Z55" s="1"/>
  <c r="E55"/>
  <c r="D55"/>
  <c r="C55"/>
  <c r="B55"/>
  <c r="A55"/>
  <c r="AB48"/>
  <c r="F48"/>
  <c r="D48"/>
  <c r="C48"/>
  <c r="B48"/>
  <c r="A48"/>
  <c r="AB40"/>
  <c r="Z40" s="1"/>
  <c r="E40"/>
  <c r="D40"/>
  <c r="C40"/>
  <c r="B40"/>
  <c r="A40"/>
  <c r="AB39"/>
  <c r="Z39" s="1"/>
  <c r="E39"/>
  <c r="D39"/>
  <c r="C39"/>
  <c r="B39"/>
  <c r="A39"/>
  <c r="AB35"/>
  <c r="Z35" s="1"/>
  <c r="E35"/>
  <c r="D35"/>
  <c r="C35"/>
  <c r="B35"/>
  <c r="A35"/>
  <c r="AB34"/>
  <c r="Z34" s="1"/>
  <c r="E34"/>
  <c r="D34"/>
  <c r="C34"/>
  <c r="B34"/>
  <c r="A34"/>
  <c r="D7"/>
  <c r="C7"/>
  <c r="B7"/>
  <c r="F7"/>
  <c r="D8"/>
  <c r="E8"/>
  <c r="D9"/>
  <c r="E9"/>
  <c r="D10"/>
  <c r="E10"/>
  <c r="D14"/>
  <c r="E14"/>
  <c r="D15"/>
  <c r="E15"/>
  <c r="D16"/>
  <c r="E16"/>
  <c r="D17"/>
  <c r="E17"/>
  <c r="D18"/>
  <c r="E18"/>
  <c r="D22"/>
  <c r="E22"/>
  <c r="D23"/>
  <c r="E23"/>
  <c r="D24"/>
  <c r="E24"/>
  <c r="D27"/>
  <c r="E27"/>
  <c r="D28"/>
  <c r="E28"/>
  <c r="D29"/>
  <c r="E29"/>
  <c r="D31"/>
  <c r="E31"/>
  <c r="D32"/>
  <c r="E32"/>
  <c r="D33"/>
  <c r="E33"/>
  <c r="D36"/>
  <c r="E36"/>
  <c r="D37"/>
  <c r="E37"/>
  <c r="D38"/>
  <c r="E38"/>
  <c r="D49"/>
  <c r="E49"/>
  <c r="D50"/>
  <c r="E50"/>
  <c r="D52"/>
  <c r="E52"/>
  <c r="D65"/>
  <c r="E65"/>
  <c r="D69"/>
  <c r="E69"/>
  <c r="D70"/>
  <c r="E70"/>
  <c r="D71"/>
  <c r="E71"/>
  <c r="D75"/>
  <c r="E75"/>
  <c r="D88"/>
  <c r="E88"/>
  <c r="D89"/>
  <c r="E89"/>
  <c r="D90"/>
  <c r="E90"/>
  <c r="C8"/>
  <c r="B8"/>
  <c r="C14"/>
  <c r="B90"/>
  <c r="B89"/>
  <c r="B88"/>
  <c r="B75"/>
  <c r="B71"/>
  <c r="B70"/>
  <c r="B69"/>
  <c r="B65"/>
  <c r="B52"/>
  <c r="B50"/>
  <c r="B49"/>
  <c r="B38"/>
  <c r="B37"/>
  <c r="B36"/>
  <c r="B33"/>
  <c r="B32"/>
  <c r="B31"/>
  <c r="B29"/>
  <c r="B28"/>
  <c r="B27"/>
  <c r="B24"/>
  <c r="B23"/>
  <c r="B22"/>
  <c r="B18"/>
  <c r="B17"/>
  <c r="B16"/>
  <c r="B15"/>
  <c r="B14"/>
  <c r="B10"/>
  <c r="B9"/>
  <c r="AB10"/>
  <c r="Z10" s="1"/>
  <c r="C10"/>
  <c r="A10"/>
  <c r="HC6"/>
  <c r="HB6"/>
  <c r="HA6"/>
  <c r="GZ6"/>
  <c r="GY6"/>
  <c r="GX6"/>
  <c r="GW6"/>
  <c r="GV6"/>
  <c r="GU6"/>
  <c r="GT6"/>
  <c r="GS6"/>
  <c r="GR6"/>
  <c r="GQ6"/>
  <c r="GN6"/>
  <c r="GM6"/>
  <c r="GL6"/>
  <c r="GK6"/>
  <c r="GJ6"/>
  <c r="GG6"/>
  <c r="GF6"/>
  <c r="GE6"/>
  <c r="GD6"/>
  <c r="GC6"/>
  <c r="FZ6"/>
  <c r="FY6"/>
  <c r="FX6"/>
  <c r="FW6"/>
  <c r="FV6"/>
  <c r="FS6"/>
  <c r="FR6"/>
  <c r="FQ6"/>
  <c r="FP6"/>
  <c r="C75"/>
  <c r="A75"/>
  <c r="FO6"/>
  <c r="AB71"/>
  <c r="Z71" s="1"/>
  <c r="C71"/>
  <c r="A71"/>
  <c r="DE6"/>
  <c r="EO6"/>
  <c r="FL6"/>
  <c r="FK6"/>
  <c r="FJ6"/>
  <c r="FI6"/>
  <c r="FH6"/>
  <c r="FE6"/>
  <c r="FD6"/>
  <c r="FC6"/>
  <c r="FB6"/>
  <c r="FA6"/>
  <c r="EX6"/>
  <c r="EW6"/>
  <c r="EV6"/>
  <c r="EU6"/>
  <c r="ET6"/>
  <c r="EQ6"/>
  <c r="AB65"/>
  <c r="Z65" s="1"/>
  <c r="C65"/>
  <c r="A65"/>
  <c r="AB70"/>
  <c r="Z70" s="1"/>
  <c r="Z69" s="1"/>
  <c r="C70"/>
  <c r="A70"/>
  <c r="C69"/>
  <c r="A69"/>
  <c r="AB52"/>
  <c r="Z52" s="1"/>
  <c r="C52"/>
  <c r="A52"/>
  <c r="AB50"/>
  <c r="Z50" s="1"/>
  <c r="C50"/>
  <c r="A50"/>
  <c r="C49"/>
  <c r="A49"/>
  <c r="AB38"/>
  <c r="Z38" s="1"/>
  <c r="C38"/>
  <c r="A38"/>
  <c r="AB37"/>
  <c r="Z37" s="1"/>
  <c r="Z36" s="1"/>
  <c r="C37"/>
  <c r="A37"/>
  <c r="C36"/>
  <c r="A36"/>
  <c r="EP6"/>
  <c r="EN6"/>
  <c r="EM6"/>
  <c r="EJ6"/>
  <c r="EI6"/>
  <c r="EH6"/>
  <c r="EG6"/>
  <c r="EF6"/>
  <c r="EC6"/>
  <c r="EB6"/>
  <c r="EA6"/>
  <c r="DZ6"/>
  <c r="DW6"/>
  <c r="DU6"/>
  <c r="DD6"/>
  <c r="DA6"/>
  <c r="CZ6"/>
  <c r="CY6"/>
  <c r="CX6"/>
  <c r="CW6"/>
  <c r="CT6"/>
  <c r="CS6"/>
  <c r="CR6"/>
  <c r="CQ6"/>
  <c r="CP6"/>
  <c r="AB18"/>
  <c r="Z18" s="1"/>
  <c r="C18"/>
  <c r="A18"/>
  <c r="AB17"/>
  <c r="Z17" s="1"/>
  <c r="C17"/>
  <c r="A17"/>
  <c r="CL6"/>
  <c r="CM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B89"/>
  <c r="Z89" s="1"/>
  <c r="C89"/>
  <c r="A89"/>
  <c r="C88"/>
  <c r="A88"/>
  <c r="AB33"/>
  <c r="Z33" s="1"/>
  <c r="C33"/>
  <c r="A33"/>
  <c r="AB32"/>
  <c r="Z32" s="1"/>
  <c r="Z31" s="1"/>
  <c r="C32"/>
  <c r="A32"/>
  <c r="C31"/>
  <c r="A31"/>
  <c r="AB29"/>
  <c r="Z29" s="1"/>
  <c r="C29"/>
  <c r="A29"/>
  <c r="AB28"/>
  <c r="Z28" s="1"/>
  <c r="Z27" s="1"/>
  <c r="C28"/>
  <c r="A28"/>
  <c r="C27"/>
  <c r="A27"/>
  <c r="AB24"/>
  <c r="Z24" s="1"/>
  <c r="C24"/>
  <c r="A24"/>
  <c r="AB23"/>
  <c r="Z23" s="1"/>
  <c r="Z22" s="1"/>
  <c r="C23"/>
  <c r="A23"/>
  <c r="C22"/>
  <c r="A22"/>
  <c r="AB15"/>
  <c r="Z15" s="1"/>
  <c r="Z14" s="1"/>
  <c r="C15"/>
  <c r="A15"/>
  <c r="A14"/>
  <c r="AB90"/>
  <c r="Z90" s="1"/>
  <c r="C90"/>
  <c r="A90"/>
  <c r="AB16"/>
  <c r="Z16" s="1"/>
  <c r="C16"/>
  <c r="A16"/>
  <c r="AB9"/>
  <c r="Z9" s="1"/>
  <c r="C9"/>
  <c r="A9"/>
  <c r="A8"/>
  <c r="AB7"/>
  <c r="A7"/>
  <c r="A6"/>
  <c r="AB6"/>
  <c r="AD3"/>
  <c r="AE3" s="1"/>
  <c r="AC5"/>
  <c r="AC4"/>
  <c r="AC1" s="1"/>
  <c r="AD5" l="1"/>
  <c r="AD4"/>
  <c r="AD1" s="1"/>
  <c r="AE5"/>
  <c r="AF3"/>
  <c r="AF5" s="1"/>
  <c r="AE4"/>
  <c r="AE2" s="1"/>
  <c r="Z8"/>
  <c r="Z88"/>
  <c r="Z75"/>
  <c r="Z49"/>
  <c r="Z60"/>
  <c r="AF4" l="1"/>
  <c r="AF1" s="1"/>
  <c r="AE1"/>
  <c r="AD2"/>
  <c r="AF2"/>
  <c r="AG3"/>
  <c r="AG5" s="1"/>
  <c r="AH3" l="1"/>
  <c r="AH4" s="1"/>
  <c r="AG4"/>
  <c r="AG1" s="1"/>
  <c r="AG2"/>
  <c r="AH5" l="1"/>
  <c r="AI3"/>
  <c r="AH2"/>
  <c r="AI4"/>
  <c r="AJ3"/>
  <c r="AI5"/>
  <c r="AH1"/>
  <c r="AI1" l="1"/>
  <c r="AI2"/>
  <c r="AJ4"/>
  <c r="AK3"/>
  <c r="AJ5"/>
  <c r="AJ2" l="1"/>
  <c r="AK5"/>
  <c r="AK4"/>
  <c r="AL3"/>
  <c r="AJ1"/>
  <c r="AL5" l="1"/>
  <c r="AM3"/>
  <c r="AL4"/>
  <c r="AL1" s="1"/>
  <c r="AK2"/>
  <c r="AK1"/>
  <c r="AL2" l="1"/>
  <c r="AM4"/>
  <c r="AN3"/>
  <c r="AM5"/>
  <c r="AM1" l="1"/>
  <c r="AM2"/>
  <c r="AN4"/>
  <c r="AN2" s="1"/>
  <c r="AN5"/>
  <c r="AO3"/>
  <c r="AO4" l="1"/>
  <c r="AP3"/>
  <c r="AO5"/>
  <c r="AN1"/>
  <c r="AO2" l="1"/>
  <c r="AO1"/>
  <c r="AP5"/>
  <c r="AQ3"/>
  <c r="AP4"/>
  <c r="AP1" l="1"/>
  <c r="AP2"/>
  <c r="AR3"/>
  <c r="AQ5"/>
  <c r="AQ4"/>
  <c r="AS3" l="1"/>
  <c r="AR4"/>
  <c r="AR1" s="1"/>
  <c r="AR5"/>
  <c r="AQ1"/>
  <c r="AQ2"/>
  <c r="AS4" l="1"/>
  <c r="AT3"/>
  <c r="AS5"/>
  <c r="AR2"/>
  <c r="AS1" l="1"/>
  <c r="AS2"/>
  <c r="AT4"/>
  <c r="AT1" s="1"/>
  <c r="AT5"/>
  <c r="AU3"/>
  <c r="AU5" l="1"/>
  <c r="AV3"/>
  <c r="AU4"/>
  <c r="AT2"/>
  <c r="AU1" l="1"/>
  <c r="AU2"/>
  <c r="AV5"/>
  <c r="AV4"/>
  <c r="AW3"/>
  <c r="AW5" l="1"/>
  <c r="AW4"/>
  <c r="AW2" s="1"/>
  <c r="AX3"/>
  <c r="AV2"/>
  <c r="AV1"/>
  <c r="AY3" l="1"/>
  <c r="AX5"/>
  <c r="AX4"/>
  <c r="AX2" l="1"/>
  <c r="AY5"/>
  <c r="AY4"/>
  <c r="AZ3"/>
  <c r="AZ5" l="1"/>
  <c r="BA3"/>
  <c r="AZ4"/>
  <c r="AZ2" s="1"/>
  <c r="AY1"/>
  <c r="AY2"/>
  <c r="AZ1" l="1"/>
  <c r="BA4"/>
  <c r="BA1" s="1"/>
  <c r="BB3"/>
  <c r="BA5"/>
  <c r="BC3" l="1"/>
  <c r="BB4"/>
  <c r="BB5"/>
  <c r="BB1"/>
  <c r="BB2"/>
  <c r="BA2"/>
  <c r="BC4" l="1"/>
  <c r="BD3"/>
  <c r="BC5"/>
  <c r="BC2" l="1"/>
  <c r="BC1"/>
  <c r="BD4"/>
  <c r="BE3"/>
  <c r="BD5"/>
  <c r="BD1" l="1"/>
  <c r="BD2"/>
  <c r="BE4"/>
  <c r="BF3"/>
  <c r="BE5"/>
  <c r="BE2" l="1"/>
  <c r="BF5"/>
  <c r="BG3"/>
  <c r="BF4"/>
  <c r="BF2" s="1"/>
  <c r="BE1"/>
  <c r="BH3" l="1"/>
  <c r="BG4"/>
  <c r="BG1" s="1"/>
  <c r="BG5"/>
  <c r="BG2"/>
  <c r="BF1"/>
  <c r="BH5" l="1"/>
  <c r="BI3"/>
  <c r="BH4"/>
  <c r="BH2" l="1"/>
  <c r="BH1"/>
  <c r="BJ3"/>
  <c r="BI4"/>
  <c r="BI5"/>
  <c r="BK3" l="1"/>
  <c r="BJ5"/>
  <c r="BJ4"/>
  <c r="BI2"/>
  <c r="BI1"/>
  <c r="BJ2" l="1"/>
  <c r="BJ1"/>
  <c r="BL3"/>
  <c r="BK5"/>
  <c r="BK4"/>
  <c r="BL5" l="1"/>
  <c r="BL4"/>
  <c r="BL1" s="1"/>
  <c r="BM3"/>
  <c r="BK1"/>
  <c r="BK2"/>
  <c r="BN3" l="1"/>
  <c r="BM4"/>
  <c r="BM5"/>
  <c r="BM2"/>
  <c r="BM1"/>
  <c r="BL2"/>
  <c r="BN4" l="1"/>
  <c r="BN5"/>
  <c r="BO3"/>
  <c r="BN1"/>
  <c r="BN2"/>
  <c r="BO5" l="1"/>
  <c r="BP3"/>
  <c r="BO4"/>
  <c r="BO1" l="1"/>
  <c r="BO2"/>
  <c r="BQ3"/>
  <c r="BP4"/>
  <c r="BP5"/>
  <c r="BR3" l="1"/>
  <c r="BQ4"/>
  <c r="BQ5"/>
  <c r="BP2"/>
  <c r="BP1"/>
  <c r="BR5" l="1"/>
  <c r="BR4"/>
  <c r="BS3"/>
  <c r="BQ2"/>
  <c r="BQ1"/>
  <c r="BS4" l="1"/>
  <c r="BT3"/>
  <c r="BS5"/>
  <c r="BR1"/>
  <c r="BR2"/>
  <c r="BS1" l="1"/>
  <c r="BS2"/>
  <c r="BU3"/>
  <c r="BT5"/>
  <c r="BT4"/>
  <c r="BT2" l="1"/>
  <c r="BT1"/>
  <c r="BU4"/>
  <c r="BU5"/>
  <c r="BV3"/>
  <c r="BV4" l="1"/>
  <c r="BV2" s="1"/>
  <c r="BV5"/>
  <c r="BW3"/>
  <c r="BV1"/>
  <c r="BU1"/>
  <c r="BU2"/>
  <c r="BX3" l="1"/>
  <c r="BW5"/>
  <c r="BW4"/>
  <c r="BW1" l="1"/>
  <c r="BW2"/>
  <c r="BX4"/>
  <c r="BX5"/>
  <c r="BY3"/>
  <c r="BZ3" l="1"/>
  <c r="BY5"/>
  <c r="BY4"/>
  <c r="BY1" s="1"/>
  <c r="BX2"/>
  <c r="BX1"/>
  <c r="BY2" l="1"/>
  <c r="CA3"/>
  <c r="BZ4"/>
  <c r="BZ1" s="1"/>
  <c r="BZ5"/>
  <c r="BZ2"/>
  <c r="CA4" l="1"/>
  <c r="CB3"/>
  <c r="CA5"/>
  <c r="CA1" l="1"/>
  <c r="CA2"/>
  <c r="CB5"/>
  <c r="CB4"/>
  <c r="CC3"/>
  <c r="CC4" l="1"/>
  <c r="CD3"/>
  <c r="CC5"/>
  <c r="CC2"/>
  <c r="CC1"/>
  <c r="CB2"/>
  <c r="CB1"/>
  <c r="CD4" l="1"/>
  <c r="CD5"/>
  <c r="CE3"/>
  <c r="CE5" l="1"/>
  <c r="CE4"/>
  <c r="CF3"/>
  <c r="CE2"/>
  <c r="CD1"/>
  <c r="CD2"/>
  <c r="CF4" l="1"/>
  <c r="CF5"/>
  <c r="CG3"/>
  <c r="CF1"/>
  <c r="CF2"/>
  <c r="CE1"/>
  <c r="CG4" l="1"/>
  <c r="CH3"/>
  <c r="CG5"/>
  <c r="CG2"/>
  <c r="CG1" l="1"/>
  <c r="CH5"/>
  <c r="CI3"/>
  <c r="CH4"/>
  <c r="CH2" s="1"/>
  <c r="CJ3" l="1"/>
  <c r="CI5"/>
  <c r="CI4"/>
  <c r="CI1" s="1"/>
  <c r="CI2"/>
  <c r="CH1"/>
  <c r="CJ5" l="1"/>
  <c r="CJ4"/>
  <c r="CJ1" s="1"/>
  <c r="CK3"/>
  <c r="CL3" l="1"/>
  <c r="CK4"/>
  <c r="CK5"/>
  <c r="CK2"/>
  <c r="CK1"/>
  <c r="CJ2"/>
  <c r="CM3" l="1"/>
  <c r="CL4"/>
  <c r="CL2" s="1"/>
  <c r="CL5"/>
  <c r="CL1"/>
  <c r="CM5" l="1"/>
  <c r="CM4"/>
  <c r="CN3"/>
  <c r="CN5" l="1"/>
  <c r="CN4"/>
  <c r="CO3"/>
  <c r="CM2"/>
  <c r="CN2"/>
  <c r="CM1"/>
  <c r="CN1"/>
  <c r="CO5" l="1"/>
  <c r="CO4"/>
  <c r="CP3"/>
  <c r="CO1"/>
  <c r="CO2"/>
  <c r="CQ3" l="1"/>
  <c r="CP5"/>
  <c r="CP4"/>
  <c r="CP2" l="1"/>
  <c r="CP1"/>
  <c r="CR3"/>
  <c r="CQ4"/>
  <c r="CQ1" s="1"/>
  <c r="CQ5"/>
  <c r="CR5" l="1"/>
  <c r="CS3"/>
  <c r="CR4"/>
  <c r="CQ2"/>
  <c r="CR2" l="1"/>
  <c r="CR1"/>
  <c r="CT3"/>
  <c r="CS4"/>
  <c r="CS5"/>
  <c r="CU3" l="1"/>
  <c r="CT5"/>
  <c r="CT4"/>
  <c r="CS2"/>
  <c r="CS1"/>
  <c r="CT1" l="1"/>
  <c r="CT2"/>
  <c r="CU4"/>
  <c r="CV3"/>
  <c r="CU1" l="1"/>
  <c r="CU2"/>
  <c r="CV5"/>
  <c r="CV4"/>
  <c r="CW3"/>
  <c r="CW4" l="1"/>
  <c r="CW5"/>
  <c r="CX3"/>
  <c r="CV2"/>
  <c r="CW2"/>
  <c r="CW1"/>
  <c r="CV1"/>
  <c r="CY3" l="1"/>
  <c r="CX5"/>
  <c r="CX4"/>
  <c r="CX1" s="1"/>
  <c r="CX2"/>
  <c r="CY4" l="1"/>
  <c r="CZ3"/>
  <c r="CY5"/>
  <c r="CY2" l="1"/>
  <c r="CY1"/>
  <c r="CZ5"/>
  <c r="CZ4"/>
  <c r="CZ1" s="1"/>
  <c r="DA3"/>
  <c r="DA5" l="1"/>
  <c r="DA4"/>
  <c r="DB3"/>
  <c r="DA2"/>
  <c r="DA1"/>
  <c r="CZ2"/>
  <c r="DC3" l="1"/>
  <c r="DB5"/>
  <c r="DB4"/>
  <c r="DB2" l="1"/>
  <c r="DB1"/>
  <c r="DC4"/>
  <c r="DC5"/>
  <c r="DD3"/>
  <c r="DE3" l="1"/>
  <c r="DD4"/>
  <c r="DD5"/>
  <c r="DD1"/>
  <c r="DD2"/>
  <c r="DC1"/>
  <c r="DC2"/>
  <c r="DE4" l="1"/>
  <c r="DF3"/>
  <c r="DE5"/>
  <c r="DE2" l="1"/>
  <c r="DE1"/>
  <c r="DG3"/>
  <c r="DF5"/>
  <c r="DF4"/>
  <c r="DG5" l="1"/>
  <c r="DH3"/>
  <c r="DG4"/>
  <c r="DF2"/>
  <c r="DF1"/>
  <c r="DG1" l="1"/>
  <c r="DH5"/>
  <c r="DI3"/>
  <c r="DH4"/>
  <c r="DH1" s="1"/>
  <c r="DG2"/>
  <c r="DI5" l="1"/>
  <c r="DI4"/>
  <c r="DJ3"/>
  <c r="DH2"/>
  <c r="DJ5" l="1"/>
  <c r="DK3"/>
  <c r="DJ4"/>
  <c r="DI1"/>
  <c r="DI2"/>
  <c r="DJ1" l="1"/>
  <c r="DJ2"/>
  <c r="DK5"/>
  <c r="DL3"/>
  <c r="DK4"/>
  <c r="DM3" l="1"/>
  <c r="DL4"/>
  <c r="DL5"/>
  <c r="DL1"/>
  <c r="DL2"/>
  <c r="DK2"/>
  <c r="DK1"/>
  <c r="DM5" l="1"/>
  <c r="DM4"/>
  <c r="DN3"/>
  <c r="DO3" l="1"/>
  <c r="DN5"/>
  <c r="DN4"/>
  <c r="DM2"/>
  <c r="DM1"/>
  <c r="DN2" l="1"/>
  <c r="DN1"/>
  <c r="DP3"/>
  <c r="DO5"/>
  <c r="DO4"/>
  <c r="DP4" l="1"/>
  <c r="DQ3"/>
  <c r="DP5"/>
  <c r="DO1"/>
  <c r="DO2"/>
  <c r="DP1" l="1"/>
  <c r="DR3"/>
  <c r="DQ5"/>
  <c r="DQ4"/>
  <c r="DQ2" s="1"/>
  <c r="DP2"/>
  <c r="DQ1" l="1"/>
  <c r="DR5"/>
  <c r="DS3"/>
  <c r="DR4"/>
  <c r="DT3" l="1"/>
  <c r="DS4"/>
  <c r="DS5"/>
  <c r="DR2"/>
  <c r="DS1"/>
  <c r="DS2"/>
  <c r="DR1"/>
  <c r="DU3" l="1"/>
  <c r="DT4"/>
  <c r="DT5"/>
  <c r="DV3" l="1"/>
  <c r="DU5"/>
  <c r="DU4"/>
  <c r="DT2"/>
  <c r="DT1"/>
  <c r="DU1" l="1"/>
  <c r="DU2"/>
  <c r="DV4"/>
  <c r="DW3"/>
  <c r="DV5"/>
  <c r="DV2" l="1"/>
  <c r="DX3"/>
  <c r="DW5"/>
  <c r="DW4"/>
  <c r="DW2" s="1"/>
  <c r="DV1"/>
  <c r="DW1" l="1"/>
  <c r="DX5"/>
  <c r="DX4"/>
  <c r="DY3"/>
  <c r="DZ3" l="1"/>
  <c r="DY4"/>
  <c r="DY5"/>
  <c r="DX2"/>
  <c r="DX1"/>
  <c r="DZ5" l="1"/>
  <c r="EA3"/>
  <c r="DZ4"/>
  <c r="DY1"/>
  <c r="DZ1"/>
  <c r="DY2"/>
  <c r="DZ2"/>
  <c r="EB3" l="1"/>
  <c r="EA5"/>
  <c r="EA4"/>
  <c r="EA1" l="1"/>
  <c r="EA2"/>
  <c r="EB4"/>
  <c r="EB2" s="1"/>
  <c r="EB5"/>
  <c r="EC3"/>
  <c r="ED3" l="1"/>
  <c r="EC5"/>
  <c r="EC4"/>
  <c r="EB1"/>
  <c r="EC2" l="1"/>
  <c r="EC1"/>
  <c r="EE3"/>
  <c r="ED5"/>
  <c r="ED4"/>
  <c r="ED2" l="1"/>
  <c r="ED1"/>
  <c r="EE5"/>
  <c r="EE4"/>
  <c r="EF3"/>
  <c r="EF4" l="1"/>
  <c r="EF5"/>
  <c r="EG3"/>
  <c r="EE2"/>
  <c r="EE1"/>
  <c r="EG5" l="1"/>
  <c r="EG4"/>
  <c r="EG1" s="1"/>
  <c r="EH3"/>
  <c r="EF2"/>
  <c r="EF1"/>
  <c r="EG2"/>
  <c r="EH5" l="1"/>
  <c r="EI3"/>
  <c r="EH4"/>
  <c r="EH2" l="1"/>
  <c r="EH1"/>
  <c r="EI5"/>
  <c r="EI4"/>
  <c r="EJ3"/>
  <c r="EK3" l="1"/>
  <c r="EJ5"/>
  <c r="EJ4"/>
  <c r="EJ2" s="1"/>
  <c r="EI1"/>
  <c r="EJ1"/>
  <c r="EI2"/>
  <c r="EL3" l="1"/>
  <c r="EK5"/>
  <c r="EK4"/>
  <c r="EM3" l="1"/>
  <c r="EL4"/>
  <c r="EL1" s="1"/>
  <c r="EL5"/>
  <c r="EK2"/>
  <c r="EK1"/>
  <c r="EM5" l="1"/>
  <c r="EN3"/>
  <c r="EM4"/>
  <c r="EM1" s="1"/>
  <c r="EL2"/>
  <c r="EM2" l="1"/>
  <c r="EO3"/>
  <c r="EN5"/>
  <c r="EN4"/>
  <c r="EN1" l="1"/>
  <c r="EN2"/>
  <c r="EO5"/>
  <c r="EO4"/>
  <c r="EP3"/>
  <c r="EP4" l="1"/>
  <c r="EQ3"/>
  <c r="EP5"/>
  <c r="EP1"/>
  <c r="EP2"/>
  <c r="EO1"/>
  <c r="EO2"/>
  <c r="EQ5" l="1"/>
  <c r="EQ4"/>
  <c r="ER3"/>
  <c r="ES3" l="1"/>
  <c r="ER5"/>
  <c r="ER4"/>
  <c r="ER1" s="1"/>
  <c r="EQ1"/>
  <c r="EQ2"/>
  <c r="ER2" l="1"/>
  <c r="ES5"/>
  <c r="ES4"/>
  <c r="ES2" s="1"/>
  <c r="ET3"/>
  <c r="ET5" l="1"/>
  <c r="ET4"/>
  <c r="EU3"/>
  <c r="ET2"/>
  <c r="ET1"/>
  <c r="ES1"/>
  <c r="EU5" l="1"/>
  <c r="EU4"/>
  <c r="EV3"/>
  <c r="EU1"/>
  <c r="EU2"/>
  <c r="EV5" l="1"/>
  <c r="EV4"/>
  <c r="EW3"/>
  <c r="EX3" l="1"/>
  <c r="EW4"/>
  <c r="EW5"/>
  <c r="EW1"/>
  <c r="EV1"/>
  <c r="EW2"/>
  <c r="EV2"/>
  <c r="EX5" l="1"/>
  <c r="EX4"/>
  <c r="EY3"/>
  <c r="EZ3" l="1"/>
  <c r="EY5"/>
  <c r="EY4"/>
  <c r="EX1"/>
  <c r="EX2"/>
  <c r="EY1" l="1"/>
  <c r="EY2"/>
  <c r="FA3"/>
  <c r="EZ4"/>
  <c r="EZ2" s="1"/>
  <c r="EZ5"/>
  <c r="FA5" l="1"/>
  <c r="FB3"/>
  <c r="FA4"/>
  <c r="EZ1"/>
  <c r="FA1" l="1"/>
  <c r="FA2"/>
  <c r="FC3"/>
  <c r="FB4"/>
  <c r="FB2" s="1"/>
  <c r="FB5"/>
  <c r="FB1" l="1"/>
  <c r="FC5"/>
  <c r="FD3"/>
  <c r="FC4"/>
  <c r="FD5" l="1"/>
  <c r="FE3"/>
  <c r="FD4"/>
  <c r="FC1"/>
  <c r="FD1"/>
  <c r="FC2"/>
  <c r="FD2"/>
  <c r="FE4" l="1"/>
  <c r="FF3"/>
  <c r="FE5"/>
  <c r="FE2" l="1"/>
  <c r="FE1"/>
  <c r="FF4"/>
  <c r="FF2" s="1"/>
  <c r="FF5"/>
  <c r="FG3"/>
  <c r="FG5" l="1"/>
  <c r="FG4"/>
  <c r="FH3"/>
  <c r="FF1"/>
  <c r="FH5" l="1"/>
  <c r="FI3"/>
  <c r="FH4"/>
  <c r="FG1"/>
  <c r="FG2"/>
  <c r="FH2" l="1"/>
  <c r="FH1"/>
  <c r="FI5"/>
  <c r="FJ3"/>
  <c r="FI4"/>
  <c r="FK3" l="1"/>
  <c r="FJ4"/>
  <c r="FJ5"/>
  <c r="FJ2"/>
  <c r="FJ1"/>
  <c r="FI2"/>
  <c r="FI1"/>
  <c r="FL3" l="1"/>
  <c r="FK5"/>
  <c r="FK4"/>
  <c r="FK2" l="1"/>
  <c r="FK1"/>
  <c r="FL4"/>
  <c r="FM3"/>
  <c r="FL5"/>
  <c r="FL1" l="1"/>
  <c r="FM5"/>
  <c r="FM4"/>
  <c r="FN3"/>
  <c r="FL2"/>
  <c r="FO3" l="1"/>
  <c r="FN4"/>
  <c r="FN5"/>
  <c r="FN2"/>
  <c r="FN1"/>
  <c r="FM1"/>
  <c r="FM2"/>
  <c r="FO5" l="1"/>
  <c r="FO4"/>
  <c r="FP3"/>
  <c r="FP5" l="1"/>
  <c r="FQ3"/>
  <c r="FP4"/>
  <c r="FO2"/>
  <c r="FO1"/>
  <c r="FP1" l="1"/>
  <c r="FP2"/>
  <c r="FR3"/>
  <c r="FQ5"/>
  <c r="FQ4"/>
  <c r="FR5" l="1"/>
  <c r="FR4"/>
  <c r="FR2" s="1"/>
  <c r="FS3"/>
  <c r="FQ1"/>
  <c r="FQ2"/>
  <c r="FR1" l="1"/>
  <c r="FT3"/>
  <c r="FS5"/>
  <c r="FS4"/>
  <c r="FS1" l="1"/>
  <c r="FS2"/>
  <c r="FT4"/>
  <c r="FT5"/>
  <c r="FU3"/>
  <c r="FU4" l="1"/>
  <c r="FV3"/>
  <c r="FU5"/>
  <c r="FU1"/>
  <c r="FT2"/>
  <c r="FU2"/>
  <c r="FT1"/>
  <c r="FW3" l="1"/>
  <c r="FV5"/>
  <c r="FV4"/>
  <c r="FX3" l="1"/>
  <c r="FW4"/>
  <c r="FW2" s="1"/>
  <c r="FW5"/>
  <c r="FV2"/>
  <c r="FV1"/>
  <c r="FX5" l="1"/>
  <c r="FY3"/>
  <c r="FX4"/>
  <c r="FW1"/>
  <c r="FX1" l="1"/>
  <c r="FX2"/>
  <c r="FY5"/>
  <c r="FY4"/>
  <c r="FZ3"/>
  <c r="FY1" l="1"/>
  <c r="FY2"/>
  <c r="GA3"/>
  <c r="FZ5"/>
  <c r="FZ4"/>
  <c r="FZ2" l="1"/>
  <c r="FZ1"/>
  <c r="GB3"/>
  <c r="GA5"/>
  <c r="GA4"/>
  <c r="GA2" l="1"/>
  <c r="GA1"/>
  <c r="GB5"/>
  <c r="GC3"/>
  <c r="GB4"/>
  <c r="GB2" l="1"/>
  <c r="GB1"/>
  <c r="GD3"/>
  <c r="GC5"/>
  <c r="GC4"/>
  <c r="GD4" l="1"/>
  <c r="GD2" s="1"/>
  <c r="GD5"/>
  <c r="GE3"/>
  <c r="GC2"/>
  <c r="GC1"/>
  <c r="GD1" l="1"/>
  <c r="GE4"/>
  <c r="GF3"/>
  <c r="GE5"/>
  <c r="GE1" l="1"/>
  <c r="GE2"/>
  <c r="GG3"/>
  <c r="GF5"/>
  <c r="GF4"/>
  <c r="GH3" l="1"/>
  <c r="GG4"/>
  <c r="GG2" s="1"/>
  <c r="GG5"/>
  <c r="GF2"/>
  <c r="GF1"/>
  <c r="GI3" l="1"/>
  <c r="GH4"/>
  <c r="GH2" s="1"/>
  <c r="GH5"/>
  <c r="GH1"/>
  <c r="GG1"/>
  <c r="GI4" l="1"/>
  <c r="GJ3"/>
  <c r="GI5"/>
  <c r="GI2" l="1"/>
  <c r="GI1"/>
  <c r="GK3"/>
  <c r="GJ5"/>
  <c r="GJ4"/>
  <c r="GJ1" l="1"/>
  <c r="GJ2"/>
  <c r="GK5"/>
  <c r="GL3"/>
  <c r="GK4"/>
  <c r="GK2" l="1"/>
  <c r="GM3"/>
  <c r="GL5"/>
  <c r="GL4"/>
  <c r="GL1" s="1"/>
  <c r="GK1"/>
  <c r="GM5" l="1"/>
  <c r="GM4"/>
  <c r="GM2" s="1"/>
  <c r="GN3"/>
  <c r="GL2"/>
  <c r="GM1" l="1"/>
  <c r="GN4"/>
  <c r="GO3"/>
  <c r="GN5"/>
  <c r="GO4" l="1"/>
  <c r="GP3"/>
  <c r="GO5"/>
  <c r="GO2"/>
  <c r="GN1"/>
  <c r="GO1"/>
  <c r="GN2"/>
  <c r="GQ3" l="1"/>
  <c r="GP4"/>
  <c r="GP1" s="1"/>
  <c r="GP5"/>
  <c r="GR3" l="1"/>
  <c r="GQ4"/>
  <c r="GQ5"/>
  <c r="GP2"/>
  <c r="GS3" l="1"/>
  <c r="GR5"/>
  <c r="GR4"/>
  <c r="GQ2"/>
  <c r="GQ1"/>
  <c r="GR2" l="1"/>
  <c r="GR1"/>
  <c r="GS4"/>
  <c r="GT3"/>
  <c r="GS5"/>
  <c r="GU3" l="1"/>
  <c r="GT5"/>
  <c r="GT4"/>
  <c r="GS2"/>
  <c r="GS1"/>
  <c r="GU5" l="1"/>
  <c r="GU4"/>
  <c r="GV3"/>
  <c r="GU2"/>
  <c r="GT1"/>
  <c r="GT2"/>
  <c r="GV4" l="1"/>
  <c r="GV5"/>
  <c r="GW3"/>
  <c r="GV1"/>
  <c r="GV2"/>
  <c r="GU1"/>
  <c r="GW4" l="1"/>
  <c r="GX3"/>
  <c r="GW5"/>
  <c r="GW2"/>
  <c r="GW1" l="1"/>
  <c r="GX4"/>
  <c r="GX2" s="1"/>
  <c r="GY3"/>
  <c r="GX5"/>
  <c r="GY5" l="1"/>
  <c r="GZ3"/>
  <c r="GY4"/>
  <c r="GY1" s="1"/>
  <c r="GX1"/>
  <c r="HA3" l="1"/>
  <c r="GZ4"/>
  <c r="GZ1" s="1"/>
  <c r="GZ5"/>
  <c r="GY2"/>
  <c r="HA4" l="1"/>
  <c r="HB3"/>
  <c r="HA5"/>
  <c r="HA2"/>
  <c r="GZ2"/>
  <c r="HA1" l="1"/>
  <c r="HB5"/>
  <c r="HB4"/>
  <c r="HC3"/>
  <c r="HB1" l="1"/>
  <c r="HB2"/>
  <c r="HC4"/>
  <c r="HC2" s="1"/>
  <c r="HC5"/>
  <c r="HC1" l="1"/>
</calcChain>
</file>

<file path=xl/sharedStrings.xml><?xml version="1.0" encoding="utf-8"?>
<sst xmlns="http://schemas.openxmlformats.org/spreadsheetml/2006/main" count="259" uniqueCount="173">
  <si>
    <t>山田</t>
    <rPh sb="0" eb="2">
      <t>ヤマダ</t>
    </rPh>
    <phoneticPr fontId="2"/>
  </si>
  <si>
    <t>井上（輝）</t>
    <rPh sb="0" eb="2">
      <t>イノウエ</t>
    </rPh>
    <rPh sb="3" eb="4">
      <t>テル</t>
    </rPh>
    <phoneticPr fontId="2"/>
  </si>
  <si>
    <t>豊福</t>
    <rPh sb="0" eb="2">
      <t>トヨフク</t>
    </rPh>
    <phoneticPr fontId="2"/>
  </si>
  <si>
    <t>舩本</t>
    <rPh sb="0" eb="2">
      <t>フナモト</t>
    </rPh>
    <phoneticPr fontId="2"/>
  </si>
  <si>
    <t>竹本</t>
    <rPh sb="0" eb="2">
      <t>タケモト</t>
    </rPh>
    <phoneticPr fontId="2"/>
  </si>
  <si>
    <t>飯田</t>
    <rPh sb="0" eb="2">
      <t>イイダ</t>
    </rPh>
    <phoneticPr fontId="2"/>
  </si>
  <si>
    <t>信井</t>
    <rPh sb="0" eb="1">
      <t>ノブ</t>
    </rPh>
    <rPh sb="1" eb="2">
      <t>イ</t>
    </rPh>
    <phoneticPr fontId="2"/>
  </si>
  <si>
    <t>勝岡</t>
    <rPh sb="0" eb="2">
      <t>カツオカ</t>
    </rPh>
    <phoneticPr fontId="2"/>
  </si>
  <si>
    <t>CSK宇田川様</t>
    <rPh sb="3" eb="6">
      <t>ウダガワ</t>
    </rPh>
    <rPh sb="6" eb="7">
      <t>サマ</t>
    </rPh>
    <phoneticPr fontId="2"/>
  </si>
  <si>
    <t>C_PS0612対応　処理構造図・設計成果物修正（PY67）</t>
    <phoneticPr fontId="2"/>
  </si>
  <si>
    <t>SCS磯部様</t>
    <rPh sb="3" eb="5">
      <t>イソベ</t>
    </rPh>
    <rPh sb="5" eb="6">
      <t>サマ</t>
    </rPh>
    <phoneticPr fontId="2"/>
  </si>
  <si>
    <t>M</t>
    <phoneticPr fontId="2"/>
  </si>
  <si>
    <t>担当</t>
    <rPh sb="0" eb="2">
      <t>タントウ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</si>
  <si>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</si>
  <si>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</si>
  <si>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工数</t>
    <rPh sb="0" eb="2">
      <t>コウスウ</t>
    </rPh>
    <phoneticPr fontId="2"/>
  </si>
  <si>
    <t>計画</t>
    <rPh sb="0" eb="2">
      <t>ケイカク</t>
    </rPh>
    <phoneticPr fontId="2"/>
  </si>
  <si>
    <t>実績</t>
    <rPh sb="0" eb="2">
      <t>ジッセキ</t>
    </rPh>
    <phoneticPr fontId="2"/>
  </si>
  <si>
    <t>中村</t>
    <rPh sb="0" eb="2">
      <t>ナカムラ</t>
    </rPh>
    <phoneticPr fontId="2"/>
  </si>
  <si>
    <t>西田</t>
    <rPh sb="0" eb="2">
      <t>ニシダ</t>
    </rPh>
    <phoneticPr fontId="2"/>
  </si>
  <si>
    <t>近藤</t>
    <rPh sb="0" eb="2">
      <t>コンドウ</t>
    </rPh>
    <phoneticPr fontId="2"/>
  </si>
  <si>
    <t>WME陳</t>
    <phoneticPr fontId="2"/>
  </si>
  <si>
    <t>WME馬</t>
    <phoneticPr fontId="2"/>
  </si>
  <si>
    <t>SCS濱崎</t>
    <rPh sb="3" eb="5">
      <t>ハマサキ</t>
    </rPh>
    <phoneticPr fontId="2"/>
  </si>
  <si>
    <t>SCS小畑</t>
    <rPh sb="3" eb="5">
      <t>オバタ</t>
    </rPh>
    <phoneticPr fontId="2"/>
  </si>
  <si>
    <t>MMC吉田様</t>
    <rPh sb="3" eb="6">
      <t>ヨシダサマ</t>
    </rPh>
    <phoneticPr fontId="2"/>
  </si>
  <si>
    <t>SCS原田</t>
    <rPh sb="3" eb="5">
      <t>ハラダ</t>
    </rPh>
    <phoneticPr fontId="2"/>
  </si>
  <si>
    <t>CSK谷口様</t>
    <rPh sb="3" eb="5">
      <t>タニグチ</t>
    </rPh>
    <rPh sb="5" eb="6">
      <t>サマ</t>
    </rPh>
    <phoneticPr fontId="2"/>
  </si>
  <si>
    <t>SCS松井</t>
    <rPh sb="3" eb="5">
      <t>マツイ</t>
    </rPh>
    <phoneticPr fontId="2"/>
  </si>
  <si>
    <t>SCS坂口様</t>
    <rPh sb="3" eb="5">
      <t>サカグチ</t>
    </rPh>
    <rPh sb="5" eb="6">
      <t>サマ</t>
    </rPh>
    <phoneticPr fontId="2"/>
  </si>
  <si>
    <t>SCS米村</t>
    <rPh sb="3" eb="5">
      <t>ヨネムラ</t>
    </rPh>
    <phoneticPr fontId="2"/>
  </si>
  <si>
    <t>SCS仁木様</t>
    <rPh sb="3" eb="4">
      <t>ニ</t>
    </rPh>
    <rPh sb="4" eb="5">
      <t>キ</t>
    </rPh>
    <rPh sb="5" eb="6">
      <t>サマ</t>
    </rPh>
    <phoneticPr fontId="2"/>
  </si>
  <si>
    <t>大矢</t>
    <rPh sb="0" eb="2">
      <t>オオヤ</t>
    </rPh>
    <phoneticPr fontId="2"/>
  </si>
  <si>
    <t>橋本</t>
    <rPh sb="0" eb="2">
      <t>ハシモト</t>
    </rPh>
    <phoneticPr fontId="2"/>
  </si>
  <si>
    <t>廣畑</t>
    <rPh sb="0" eb="2">
      <t>ヒロハタ</t>
    </rPh>
    <phoneticPr fontId="2"/>
  </si>
  <si>
    <t>冨田</t>
    <rPh sb="0" eb="2">
      <t>トミタ</t>
    </rPh>
    <phoneticPr fontId="2"/>
  </si>
  <si>
    <t>CSK藤本</t>
    <rPh sb="3" eb="5">
      <t>フジモト</t>
    </rPh>
    <phoneticPr fontId="2"/>
  </si>
  <si>
    <t>進捗</t>
    <rPh sb="0" eb="2">
      <t>シンチョク</t>
    </rPh>
    <phoneticPr fontId="2"/>
  </si>
  <si>
    <t>状況</t>
    <rPh sb="0" eb="2">
      <t>ジョウキョウ</t>
    </rPh>
    <phoneticPr fontId="2"/>
  </si>
  <si>
    <t>開始日</t>
  </si>
  <si>
    <t>休日</t>
    <rPh sb="0" eb="2">
      <t>キュウジツ</t>
    </rPh>
    <phoneticPr fontId="2"/>
  </si>
  <si>
    <t>WBS</t>
    <phoneticPr fontId="2"/>
  </si>
  <si>
    <t>No</t>
    <phoneticPr fontId="2"/>
  </si>
  <si>
    <t>WBS No</t>
    <phoneticPr fontId="2"/>
  </si>
  <si>
    <t>作業項目</t>
    <phoneticPr fontId="2"/>
  </si>
  <si>
    <t>四方</t>
    <rPh sb="0" eb="2">
      <t>シカタ</t>
    </rPh>
    <phoneticPr fontId="2"/>
  </si>
  <si>
    <t>大城</t>
    <rPh sb="0" eb="2">
      <t>オオシロ</t>
    </rPh>
    <phoneticPr fontId="2"/>
  </si>
  <si>
    <t>藤田</t>
    <rPh sb="0" eb="2">
      <t>フジタ</t>
    </rPh>
    <phoneticPr fontId="2"/>
  </si>
  <si>
    <t>井上（拓）</t>
    <rPh sb="0" eb="2">
      <t>イノウエ</t>
    </rPh>
    <rPh sb="3" eb="4">
      <t>タク</t>
    </rPh>
    <phoneticPr fontId="2"/>
  </si>
  <si>
    <t>副島</t>
    <rPh sb="0" eb="2">
      <t>ソエジマ</t>
    </rPh>
    <phoneticPr fontId="2"/>
  </si>
  <si>
    <t>秋山</t>
    <rPh sb="0" eb="2">
      <t>アキヤマ</t>
    </rPh>
    <phoneticPr fontId="2"/>
  </si>
  <si>
    <t>WME蒋</t>
    <phoneticPr fontId="2"/>
  </si>
  <si>
    <t>SCS進木</t>
    <rPh sb="3" eb="4">
      <t>スス</t>
    </rPh>
    <rPh sb="4" eb="5">
      <t>キ</t>
    </rPh>
    <phoneticPr fontId="2"/>
  </si>
  <si>
    <t>森</t>
    <rPh sb="0" eb="1">
      <t>モリ</t>
    </rPh>
    <phoneticPr fontId="27"/>
  </si>
  <si>
    <t>MMC辻様</t>
    <rPh sb="3" eb="4">
      <t>ツジ</t>
    </rPh>
    <rPh sb="4" eb="5">
      <t>サマ</t>
    </rPh>
    <phoneticPr fontId="2"/>
  </si>
  <si>
    <t>五代</t>
    <rPh sb="0" eb="2">
      <t>ゴダイ</t>
    </rPh>
    <phoneticPr fontId="2"/>
  </si>
  <si>
    <t>羽柴</t>
    <rPh sb="0" eb="2">
      <t>ハシバ</t>
    </rPh>
    <phoneticPr fontId="2"/>
  </si>
  <si>
    <t>梁川</t>
    <rPh sb="0" eb="2">
      <t>ヤナガワ</t>
    </rPh>
    <phoneticPr fontId="2"/>
  </si>
  <si>
    <t>SCS新原様</t>
    <rPh sb="5" eb="6">
      <t>サマ</t>
    </rPh>
    <phoneticPr fontId="2"/>
  </si>
  <si>
    <t>SCS清水様</t>
    <rPh sb="3" eb="5">
      <t>シミズ</t>
    </rPh>
    <rPh sb="5" eb="6">
      <t>サマ</t>
    </rPh>
    <phoneticPr fontId="2"/>
  </si>
  <si>
    <t>MMC亀澤様</t>
    <rPh sb="3" eb="4">
      <t>カメ</t>
    </rPh>
    <rPh sb="4" eb="5">
      <t>サワ</t>
    </rPh>
    <phoneticPr fontId="2"/>
  </si>
  <si>
    <t>MMC豊田様</t>
    <rPh sb="3" eb="5">
      <t>トヨダ</t>
    </rPh>
    <phoneticPr fontId="2"/>
  </si>
  <si>
    <t>MMC太田様</t>
    <rPh sb="3" eb="5">
      <t>オオタ</t>
    </rPh>
    <phoneticPr fontId="2"/>
  </si>
  <si>
    <t>MMC太田様</t>
    <phoneticPr fontId="2"/>
  </si>
  <si>
    <t>SCS柳原様</t>
    <rPh sb="3" eb="5">
      <t>ヤナギハラ</t>
    </rPh>
    <rPh sb="5" eb="6">
      <t>サマ</t>
    </rPh>
    <phoneticPr fontId="2"/>
  </si>
  <si>
    <t>藤井（哲）</t>
    <rPh sb="0" eb="2">
      <t>フジイ</t>
    </rPh>
    <rPh sb="3" eb="4">
      <t>テツ</t>
    </rPh>
    <phoneticPr fontId="2"/>
  </si>
  <si>
    <t>藤井（高）</t>
    <rPh sb="0" eb="2">
      <t>フジイ</t>
    </rPh>
    <rPh sb="3" eb="4">
      <t>タカ</t>
    </rPh>
    <phoneticPr fontId="2"/>
  </si>
  <si>
    <t>札野</t>
    <rPh sb="0" eb="1">
      <t>フダ</t>
    </rPh>
    <rPh sb="1" eb="2">
      <t>ノ</t>
    </rPh>
    <phoneticPr fontId="2"/>
  </si>
  <si>
    <t>村木</t>
    <rPh sb="0" eb="2">
      <t>ムラキ</t>
    </rPh>
    <phoneticPr fontId="2"/>
  </si>
  <si>
    <t>岩佐</t>
    <rPh sb="0" eb="2">
      <t>イワサ</t>
    </rPh>
    <phoneticPr fontId="2"/>
  </si>
  <si>
    <t/>
  </si>
  <si>
    <t>津田</t>
    <rPh sb="0" eb="2">
      <t>ツダ</t>
    </rPh>
    <phoneticPr fontId="2"/>
  </si>
  <si>
    <t>三浦</t>
    <rPh sb="0" eb="2">
      <t>ミウラ</t>
    </rPh>
    <phoneticPr fontId="2"/>
  </si>
  <si>
    <t>竹内</t>
    <rPh sb="0" eb="2">
      <t>タケウチ</t>
    </rPh>
    <phoneticPr fontId="2"/>
  </si>
  <si>
    <t>畠中</t>
    <rPh sb="0" eb="2">
      <t>ハタケナカ</t>
    </rPh>
    <phoneticPr fontId="2"/>
  </si>
  <si>
    <t>川上</t>
    <rPh sb="0" eb="2">
      <t>カワカミ</t>
    </rPh>
    <phoneticPr fontId="2"/>
  </si>
  <si>
    <t>渡辺</t>
    <rPh sb="0" eb="2">
      <t>ワタナベ</t>
    </rPh>
    <phoneticPr fontId="2"/>
  </si>
  <si>
    <t>三浦</t>
    <rPh sb="0" eb="2">
      <t>ミウラ</t>
    </rPh>
    <phoneticPr fontId="0"/>
  </si>
  <si>
    <t>三浦</t>
    <rPh sb="0" eb="2">
      <t>ミウラ</t>
    </rPh>
    <phoneticPr fontId="2"/>
  </si>
  <si>
    <t>大城</t>
    <rPh sb="0" eb="2">
      <t>オオシロ</t>
    </rPh>
    <phoneticPr fontId="0"/>
  </si>
  <si>
    <t>送付日付</t>
    <rPh sb="0" eb="2">
      <t>ソウフ</t>
    </rPh>
    <rPh sb="2" eb="4">
      <t>ヒヅケ</t>
    </rPh>
    <phoneticPr fontId="2"/>
  </si>
  <si>
    <t>済</t>
    <rPh sb="0" eb="1">
      <t>ス</t>
    </rPh>
    <phoneticPr fontId="2"/>
  </si>
  <si>
    <t>送付対象</t>
    <rPh sb="0" eb="2">
      <t>ソウフ</t>
    </rPh>
    <rPh sb="2" eb="4">
      <t>タイショウ</t>
    </rPh>
    <phoneticPr fontId="2"/>
  </si>
  <si>
    <t>kazuhito_miura@jpn.apl.murata.co.jp</t>
    <phoneticPr fontId="2"/>
  </si>
  <si>
    <t>○</t>
    <phoneticPr fontId="2"/>
  </si>
  <si>
    <t>BL管理基本業務</t>
  </si>
  <si>
    <t>ベースライン切り(本番、SysX系込み)</t>
  </si>
  <si>
    <t>習熟環境管理</t>
  </si>
  <si>
    <t>リリース</t>
  </si>
  <si>
    <t>大幅洗替えリリース</t>
  </si>
  <si>
    <t>トラブルシュート(環境系Only)</t>
  </si>
  <si>
    <t>報告会・資料作成</t>
  </si>
  <si>
    <t>報告資料作成</t>
  </si>
  <si>
    <t>報告会</t>
  </si>
  <si>
    <t>質問・問合わせ</t>
  </si>
  <si>
    <t>トラブルシュート(BL業務)</t>
  </si>
  <si>
    <t>取り組み</t>
  </si>
  <si>
    <t>開発改善</t>
  </si>
  <si>
    <t>ツール作成(スポット・無名対応)</t>
  </si>
  <si>
    <t>リリース時チェック機構</t>
  </si>
  <si>
    <t>全回帰環境作成</t>
  </si>
  <si>
    <t>開発多目的サーバ作成</t>
  </si>
  <si>
    <t>BL作業ガイド作成</t>
  </si>
  <si>
    <t>自動化ツール(Excelマクロ)作成</t>
  </si>
  <si>
    <t>BL業務ガイド・ドキュメント化</t>
    <rPh sb="14" eb="15">
      <t>カ</t>
    </rPh>
    <phoneticPr fontId="2"/>
  </si>
  <si>
    <t>BL作業ガイド作成</t>
    <phoneticPr fontId="2"/>
  </si>
  <si>
    <t>その他</t>
  </si>
  <si>
    <t>昼ミーティング</t>
  </si>
  <si>
    <t>開発作業</t>
  </si>
  <si>
    <t>論理引当ミーティング</t>
  </si>
  <si>
    <t>論理引当サポート</t>
  </si>
  <si>
    <t>トラブルシュート(開発)</t>
  </si>
  <si>
    <t>三浦</t>
    <phoneticPr fontId="0"/>
  </si>
  <si>
    <t>三浦</t>
    <phoneticPr fontId="0"/>
  </si>
  <si>
    <t>勤怠管理・自己作業など</t>
  </si>
  <si>
    <t>習熟環境TS</t>
    <phoneticPr fontId="2"/>
  </si>
  <si>
    <t>会議・ミーティング(BL業務)</t>
  </si>
  <si>
    <t>本番・各テスト環境の差分について</t>
    <phoneticPr fontId="2"/>
  </si>
  <si>
    <t>4月</t>
    <rPh sb="1" eb="2">
      <t>ガツ</t>
    </rPh>
    <phoneticPr fontId="2"/>
  </si>
  <si>
    <t>その他改善(他チーム等)</t>
    <rPh sb="2" eb="3">
      <t>タ</t>
    </rPh>
    <rPh sb="3" eb="5">
      <t>カイゼン</t>
    </rPh>
    <rPh sb="6" eb="7">
      <t>タ</t>
    </rPh>
    <rPh sb="10" eb="11">
      <t>ナド</t>
    </rPh>
    <phoneticPr fontId="2"/>
  </si>
  <si>
    <t>海外統合ツール見積もり</t>
    <rPh sb="0" eb="2">
      <t>カイガイ</t>
    </rPh>
    <rPh sb="2" eb="4">
      <t>トウゴウ</t>
    </rPh>
    <rPh sb="7" eb="9">
      <t>ミツ</t>
    </rPh>
    <phoneticPr fontId="2"/>
  </si>
  <si>
    <t>その他のパラメータ</t>
    <rPh sb="2" eb="3">
      <t>タ</t>
    </rPh>
    <phoneticPr fontId="2"/>
  </si>
  <si>
    <t>SMTPサーバ</t>
    <phoneticPr fontId="2"/>
  </si>
  <si>
    <t>Mail本文</t>
    <rPh sb="4" eb="6">
      <t>ホンブン</t>
    </rPh>
    <phoneticPr fontId="2"/>
  </si>
  <si>
    <t>Mailタイトル</t>
    <phoneticPr fontId="2"/>
  </si>
  <si>
    <t>hqmta01.murata.co.jp</t>
    <phoneticPr fontId="2"/>
  </si>
  <si>
    <t>tetsuo_fujii@jpn.apl.murata.co.jp</t>
    <phoneticPr fontId="2"/>
  </si>
  <si>
    <t>【ベースライン管理】WBS集計結果送付 - ${dateRange}</t>
    <rPh sb="7" eb="9">
      <t>カンリ</t>
    </rPh>
    <rPh sb="13" eb="15">
      <t>シュウケイ</t>
    </rPh>
    <rPh sb="15" eb="17">
      <t>ケッカ</t>
    </rPh>
    <rPh sb="17" eb="19">
      <t>ソウフ</t>
    </rPh>
    <phoneticPr fontId="2"/>
  </si>
  <si>
    <t>hirokazu_shikata@jpn.apl.murata.co.jp</t>
    <phoneticPr fontId="2"/>
  </si>
  <si>
    <t>kazuhiro_ozasa@jpn.apl.murata.co.jp</t>
    <phoneticPr fontId="2"/>
  </si>
  <si>
    <t>○</t>
    <phoneticPr fontId="2"/>
  </si>
  <si>
    <t>「予行」ルールについての全体周知</t>
  </si>
  <si>
    <t>三浦</t>
    <rPh sb="0" eb="2">
      <t>ミウラ</t>
    </rPh>
    <phoneticPr fontId="2"/>
  </si>
  <si>
    <t>大城</t>
    <rPh sb="0" eb="2">
      <t>オオシロ</t>
    </rPh>
    <phoneticPr fontId="0"/>
  </si>
  <si>
    <t>下流サポート</t>
    <rPh sb="0" eb="2">
      <t>カリュウ</t>
    </rPh>
    <phoneticPr fontId="0"/>
  </si>
  <si>
    <t>WBSの再作成＆改造</t>
    <rPh sb="4" eb="7">
      <t>サイサクセイ</t>
    </rPh>
    <rPh sb="8" eb="10">
      <t>カイゾウ</t>
    </rPh>
    <phoneticPr fontId="2"/>
  </si>
  <si>
    <t>昼ミーティング</t>
    <phoneticPr fontId="2"/>
  </si>
  <si>
    <t>トラブルシュート(開発)</t>
    <phoneticPr fontId="2"/>
  </si>
  <si>
    <t>習熟・本番コピー改善</t>
    <phoneticPr fontId="2"/>
  </si>
  <si>
    <t>会議・ミーティング</t>
    <phoneticPr fontId="2"/>
  </si>
  <si>
    <t>会議・ミーティング(BL業務)</t>
    <phoneticPr fontId="2"/>
  </si>
  <si>
    <t>三浦</t>
    <rPh sb="0" eb="2">
      <t>ミウラ</t>
    </rPh>
    <phoneticPr fontId="0"/>
  </si>
  <si>
    <t>メール・自己管理諸作業</t>
    <phoneticPr fontId="2"/>
  </si>
  <si>
    <t>○</t>
  </si>
  <si>
    <t>習熟・本番コピー改善(Ver2.0)</t>
    <phoneticPr fontId="0"/>
  </si>
  <si>
    <t>BL業務改善</t>
    <phoneticPr fontId="2"/>
  </si>
  <si>
    <t>勤怠管理・自己作業など</t>
    <phoneticPr fontId="2"/>
  </si>
  <si>
    <t>問合せ・トラブルシュート</t>
    <phoneticPr fontId="2"/>
  </si>
  <si>
    <t>BL変更</t>
    <phoneticPr fontId="2"/>
  </si>
  <si>
    <t>ベースライン切り(本番、SysX系込み)</t>
    <phoneticPr fontId="2"/>
  </si>
  <si>
    <t>X社対応環境構築</t>
    <rPh sb="1" eb="2">
      <t>シャ</t>
    </rPh>
    <rPh sb="2" eb="4">
      <t>タイオウ</t>
    </rPh>
    <rPh sb="4" eb="6">
      <t>カンキョウ</t>
    </rPh>
    <rPh sb="6" eb="8">
      <t>コウチク</t>
    </rPh>
    <phoneticPr fontId="2"/>
  </si>
  <si>
    <t>分散再構築会議</t>
    <rPh sb="0" eb="1">
      <t>ブン</t>
    </rPh>
    <rPh sb="1" eb="2">
      <t>サン</t>
    </rPh>
    <rPh sb="2" eb="5">
      <t>サイコウチク</t>
    </rPh>
    <rPh sb="5" eb="7">
      <t>カイギ</t>
    </rPh>
    <phoneticPr fontId="2"/>
  </si>
  <si>
    <t>質問・問合わせ</t>
    <phoneticPr fontId="2"/>
  </si>
  <si>
    <t>BL管理業務引継</t>
    <rPh sb="2" eb="4">
      <t>カンリ</t>
    </rPh>
    <rPh sb="4" eb="6">
      <t>ギョウム</t>
    </rPh>
    <rPh sb="6" eb="8">
      <t>ヒキツギ</t>
    </rPh>
    <phoneticPr fontId="2"/>
  </si>
  <si>
    <t>山崎</t>
    <rPh sb="0" eb="2">
      <t>ヤマサキ</t>
    </rPh>
    <phoneticPr fontId="0"/>
  </si>
  <si>
    <t>山崎</t>
    <rPh sb="0" eb="2">
      <t>ヤマサキ</t>
    </rPh>
    <phoneticPr fontId="2"/>
  </si>
  <si>
    <t>山崎</t>
    <rPh sb="0" eb="2">
      <t>ヤマサキ</t>
    </rPh>
    <phoneticPr fontId="2"/>
  </si>
  <si>
    <t>山崎</t>
    <rPh sb="0" eb="2">
      <t>ヤマザキ</t>
    </rPh>
    <phoneticPr fontId="2"/>
  </si>
  <si>
    <t>その他</t>
    <rPh sb="2" eb="3">
      <t>タ</t>
    </rPh>
    <phoneticPr fontId="2"/>
  </si>
  <si>
    <t>導入レクチャー</t>
    <rPh sb="0" eb="2">
      <t>ドウニュウ</t>
    </rPh>
    <phoneticPr fontId="2"/>
  </si>
  <si>
    <t>ファイル検索アプリ改善(福永様案件)</t>
  </si>
  <si>
    <t>トラブルシュート(BL業務)</t>
    <phoneticPr fontId="2"/>
  </si>
  <si>
    <t>BL管理外作業(開発・全体会議等)</t>
    <phoneticPr fontId="2"/>
  </si>
  <si>
    <t>ソース検索システム構築</t>
    <phoneticPr fontId="2"/>
  </si>
  <si>
    <t>プロダクトテスト結果問合せ対応（PVB0040）</t>
    <rPh sb="13" eb="15">
      <t>タイオウ</t>
    </rPh>
    <phoneticPr fontId="2"/>
  </si>
  <si>
    <t>teiji_honda@jpn.apl.murata.co.jp</t>
  </si>
  <si>
    <t>※Excelにより自動送信されています。失礼の段ご了承ください。
送付の皆さま。
KSC三浦一仁です。お世話になっております。
掲題のWBSより、${dateRange} の期間においての集計を送付いたします。
以上、ご確認をよろしくお願いいたします。
---------
※送信元(元となったWBS)
  K:\UPトレーニング\国内生販システム再構築\個人フォルダ\実装チーム\01.KSC共通フォルダ\01.再構築関連フォルダ\20.開発\10.管理\05.保守\２０１２年０４月度WBS（ベースライン管理）.xlsm</t>
    <rPh sb="9" eb="11">
      <t>ジドウ</t>
    </rPh>
    <rPh sb="11" eb="13">
      <t>ソウシン</t>
    </rPh>
    <rPh sb="20" eb="22">
      <t>シツレイ</t>
    </rPh>
    <rPh sb="23" eb="24">
      <t>ダン</t>
    </rPh>
    <rPh sb="25" eb="27">
      <t>リョウショウ</t>
    </rPh>
    <rPh sb="34" eb="36">
      <t>ソウフ</t>
    </rPh>
    <rPh sb="37" eb="38">
      <t>ミナ</t>
    </rPh>
    <rPh sb="46" eb="48">
      <t>ミウラ</t>
    </rPh>
    <rPh sb="48" eb="50">
      <t>カズヒト</t>
    </rPh>
    <rPh sb="54" eb="56">
      <t>セワ</t>
    </rPh>
    <rPh sb="67" eb="69">
      <t>ケイダイ</t>
    </rPh>
    <rPh sb="90" eb="92">
      <t>キカン</t>
    </rPh>
    <rPh sb="97" eb="99">
      <t>シュウケイ</t>
    </rPh>
    <rPh sb="100" eb="102">
      <t>ソウフ</t>
    </rPh>
    <rPh sb="110" eb="112">
      <t>イジョウ</t>
    </rPh>
    <rPh sb="114" eb="116">
      <t>カクニン</t>
    </rPh>
    <rPh sb="122" eb="123">
      <t>ネガ</t>
    </rPh>
    <rPh sb="144" eb="147">
      <t>ソウシンモト</t>
    </rPh>
    <rPh sb="148" eb="149">
      <t>モト</t>
    </rPh>
    <phoneticPr fontId="2"/>
  </si>
  <si>
    <t>四方</t>
    <rPh sb="0" eb="2">
      <t>シカタ</t>
    </rPh>
    <phoneticPr fontId="2"/>
  </si>
  <si>
    <t>本田</t>
    <rPh sb="0" eb="2">
      <t>ホンダ</t>
    </rPh>
    <phoneticPr fontId="2"/>
  </si>
  <si>
    <t>本田</t>
    <rPh sb="0" eb="1">
      <t>ホン</t>
    </rPh>
    <rPh sb="1" eb="2">
      <t>タ</t>
    </rPh>
    <phoneticPr fontId="2"/>
  </si>
  <si>
    <t>本田</t>
    <rPh sb="0" eb="2">
      <t>ホンダ</t>
    </rPh>
    <phoneticPr fontId="2"/>
  </si>
  <si>
    <t>本田</t>
    <rPh sb="0" eb="2">
      <t>ホンダ</t>
    </rPh>
    <phoneticPr fontId="0"/>
  </si>
  <si>
    <t>四方</t>
    <rPh sb="0" eb="2">
      <t>シカタ</t>
    </rPh>
    <phoneticPr fontId="0"/>
  </si>
</sst>
</file>

<file path=xl/styles.xml><?xml version="1.0" encoding="utf-8"?>
<styleSheet xmlns="http://schemas.openxmlformats.org/spreadsheetml/2006/main">
  <numFmts count="10">
    <numFmt numFmtId="176" formatCode="d"/>
    <numFmt numFmtId="177" formatCode="aaa"/>
    <numFmt numFmtId="178" formatCode="m/d;@"/>
    <numFmt numFmtId="179" formatCode="m&quot;月&quot;"/>
    <numFmt numFmtId="180" formatCode="m/d"/>
    <numFmt numFmtId="181" formatCode="0.00_ "/>
    <numFmt numFmtId="182" formatCode="yy/m/d"/>
    <numFmt numFmtId="183" formatCode="yyyy/mm/dd"/>
    <numFmt numFmtId="184" formatCode="yy&quot;年&quot;"/>
    <numFmt numFmtId="185" formatCode="0.00_);[Red]\(0.00\)"/>
  </numFmts>
  <fonts count="28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0"/>
      <color indexed="12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10"/>
      <color indexed="17"/>
      <name val="ＭＳ Ｐゴシック"/>
      <family val="3"/>
      <charset val="128"/>
    </font>
    <font>
      <sz val="10"/>
      <color indexed="62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10"/>
      <color indexed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9"/>
      <color indexed="17"/>
      <name val="ＭＳ Ｐゴシック"/>
      <family val="3"/>
      <charset val="128"/>
    </font>
    <font>
      <b/>
      <sz val="8"/>
      <color indexed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8"/>
      <color indexed="12"/>
      <name val="ＭＳ Ｐゴシック"/>
      <family val="3"/>
      <charset val="128"/>
    </font>
    <font>
      <sz val="5.0999999999999996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</fills>
  <borders count="43">
    <border>
      <left/>
      <right/>
      <top/>
      <bottom/>
      <diagonal/>
    </border>
    <border>
      <left style="thin">
        <color indexed="62"/>
      </left>
      <right style="thin">
        <color indexed="62"/>
      </right>
      <top style="hair">
        <color indexed="62"/>
      </top>
      <bottom style="hair">
        <color indexed="62"/>
      </bottom>
      <diagonal/>
    </border>
    <border>
      <left style="double">
        <color indexed="18"/>
      </left>
      <right style="thin">
        <color indexed="62"/>
      </right>
      <top style="hair">
        <color indexed="62"/>
      </top>
      <bottom style="hair">
        <color indexed="62"/>
      </bottom>
      <diagonal/>
    </border>
    <border>
      <left style="double">
        <color indexed="18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double">
        <color indexed="18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double">
        <color indexed="18"/>
      </left>
      <right style="hair">
        <color indexed="18"/>
      </right>
      <top style="thin">
        <color indexed="9"/>
      </top>
      <bottom style="hair">
        <color indexed="18"/>
      </bottom>
      <diagonal/>
    </border>
    <border>
      <left style="hair">
        <color indexed="18"/>
      </left>
      <right style="hair">
        <color indexed="18"/>
      </right>
      <top style="thin">
        <color indexed="9"/>
      </top>
      <bottom style="hair">
        <color indexed="18"/>
      </bottom>
      <diagonal/>
    </border>
    <border>
      <left style="double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 style="hair">
        <color indexed="18"/>
      </left>
      <right style="hair">
        <color indexed="18"/>
      </right>
      <top style="hair">
        <color indexed="18"/>
      </top>
      <bottom style="hair">
        <color indexed="18"/>
      </bottom>
      <diagonal/>
    </border>
    <border>
      <left style="double">
        <color indexed="18"/>
      </left>
      <right style="hair">
        <color indexed="18"/>
      </right>
      <top style="hair">
        <color indexed="18"/>
      </top>
      <bottom style="thin">
        <color indexed="62"/>
      </bottom>
      <diagonal/>
    </border>
    <border>
      <left style="hair">
        <color indexed="18"/>
      </left>
      <right style="hair">
        <color indexed="18"/>
      </right>
      <top style="hair">
        <color indexed="18"/>
      </top>
      <bottom style="thin">
        <color indexed="62"/>
      </bottom>
      <diagonal/>
    </border>
    <border>
      <left/>
      <right/>
      <top style="hair">
        <color indexed="62"/>
      </top>
      <bottom style="hair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2"/>
      </left>
      <right/>
      <top style="hair">
        <color indexed="62"/>
      </top>
      <bottom style="hair">
        <color indexed="62"/>
      </bottom>
      <diagonal/>
    </border>
    <border>
      <left style="thin">
        <color indexed="9"/>
      </left>
      <right style="thin">
        <color indexed="9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hair">
        <color indexed="64"/>
      </top>
      <bottom/>
      <diagonal/>
    </border>
    <border>
      <left/>
      <right style="thin">
        <color indexed="9"/>
      </right>
      <top style="hair">
        <color indexed="64"/>
      </top>
      <bottom/>
      <diagonal/>
    </border>
    <border>
      <left/>
      <right style="thin">
        <color indexed="62"/>
      </right>
      <top style="hair">
        <color indexed="62"/>
      </top>
      <bottom style="hair">
        <color indexed="62"/>
      </bottom>
      <diagonal/>
    </border>
    <border>
      <left style="thin">
        <color indexed="62"/>
      </left>
      <right style="double">
        <color indexed="18"/>
      </right>
      <top style="hair">
        <color indexed="62"/>
      </top>
      <bottom style="hair">
        <color indexed="62"/>
      </bottom>
      <diagonal/>
    </border>
    <border>
      <left/>
      <right/>
      <top/>
      <bottom style="thin">
        <color indexed="9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9"/>
      </right>
      <top/>
      <bottom style="hair">
        <color indexed="64"/>
      </bottom>
      <diagonal/>
    </border>
    <border>
      <left style="thin">
        <color indexed="62"/>
      </left>
      <right/>
      <top style="thin">
        <color indexed="62"/>
      </top>
      <bottom/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double">
        <color indexed="18"/>
      </right>
      <top style="thin">
        <color indexed="9"/>
      </top>
      <bottom/>
      <diagonal/>
    </border>
    <border>
      <left style="thin">
        <color indexed="9"/>
      </left>
      <right style="double">
        <color indexed="18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4">
    <xf numFmtId="0" fontId="0" fillId="0" borderId="0" xfId="0">
      <alignment vertical="center"/>
    </xf>
    <xf numFmtId="178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center" vertical="center"/>
    </xf>
    <xf numFmtId="184" fontId="5" fillId="2" borderId="3" xfId="0" quotePrefix="1" applyNumberFormat="1" applyFont="1" applyFill="1" applyBorder="1" applyAlignment="1">
      <alignment horizontal="center" vertical="center" shrinkToFit="1"/>
    </xf>
    <xf numFmtId="184" fontId="5" fillId="2" borderId="4" xfId="0" quotePrefix="1" applyNumberFormat="1" applyFont="1" applyFill="1" applyBorder="1" applyAlignment="1">
      <alignment horizontal="center" vertical="center" shrinkToFit="1"/>
    </xf>
    <xf numFmtId="179" fontId="5" fillId="2" borderId="5" xfId="0" applyNumberFormat="1" applyFont="1" applyFill="1" applyBorder="1" applyAlignment="1">
      <alignment horizontal="center" vertical="center" shrinkToFit="1"/>
    </xf>
    <xf numFmtId="179" fontId="5" fillId="2" borderId="6" xfId="0" applyNumberFormat="1" applyFont="1" applyFill="1" applyBorder="1" applyAlignment="1">
      <alignment horizontal="center" vertical="center" shrinkToFit="1"/>
    </xf>
    <xf numFmtId="185" fontId="3" fillId="0" borderId="1" xfId="0" applyNumberFormat="1" applyFont="1" applyFill="1" applyBorder="1" applyAlignment="1">
      <alignment horizontal="center" vertical="center"/>
    </xf>
    <xf numFmtId="176" fontId="5" fillId="2" borderId="7" xfId="0" applyNumberFormat="1" applyFont="1" applyFill="1" applyBorder="1" applyAlignment="1">
      <alignment horizontal="center" vertical="center"/>
    </xf>
    <xf numFmtId="176" fontId="5" fillId="2" borderId="8" xfId="0" applyNumberFormat="1" applyFont="1" applyFill="1" applyBorder="1" applyAlignment="1">
      <alignment horizontal="center" vertical="center"/>
    </xf>
    <xf numFmtId="177" fontId="5" fillId="2" borderId="9" xfId="0" applyNumberFormat="1" applyFont="1" applyFill="1" applyBorder="1" applyAlignment="1">
      <alignment horizontal="center" vertical="center"/>
    </xf>
    <xf numFmtId="177" fontId="5" fillId="2" borderId="10" xfId="0" applyNumberFormat="1" applyFont="1" applyFill="1" applyBorder="1" applyAlignment="1">
      <alignment horizontal="center" vertical="center"/>
    </xf>
    <xf numFmtId="177" fontId="5" fillId="2" borderId="11" xfId="0" applyNumberFormat="1" applyFont="1" applyFill="1" applyBorder="1" applyAlignment="1" applyProtection="1">
      <alignment horizontal="center" vertical="center"/>
      <protection hidden="1"/>
    </xf>
    <xf numFmtId="177" fontId="5" fillId="2" borderId="12" xfId="0" applyNumberFormat="1" applyFont="1" applyFill="1" applyBorder="1" applyAlignment="1" applyProtection="1">
      <alignment horizontal="center" vertical="center"/>
      <protection hidden="1"/>
    </xf>
    <xf numFmtId="0" fontId="3" fillId="0" borderId="13" xfId="0" applyFont="1" applyFill="1" applyBorder="1">
      <alignment vertical="center"/>
    </xf>
    <xf numFmtId="0" fontId="7" fillId="0" borderId="13" xfId="0" applyFont="1" applyFill="1" applyBorder="1">
      <alignment vertical="center"/>
    </xf>
    <xf numFmtId="0" fontId="3" fillId="0" borderId="13" xfId="0" applyFont="1" applyBorder="1">
      <alignment vertical="center"/>
    </xf>
    <xf numFmtId="0" fontId="8" fillId="0" borderId="13" xfId="0" applyFont="1" applyBorder="1">
      <alignment vertical="center"/>
    </xf>
    <xf numFmtId="0" fontId="7" fillId="0" borderId="13" xfId="0" applyFont="1" applyBorder="1">
      <alignment vertical="center"/>
    </xf>
    <xf numFmtId="0" fontId="5" fillId="2" borderId="14" xfId="0" applyFont="1" applyFill="1" applyBorder="1" applyAlignment="1">
      <alignment horizontal="center" vertical="center"/>
    </xf>
    <xf numFmtId="184" fontId="9" fillId="2" borderId="4" xfId="0" applyNumberFormat="1" applyFont="1" applyFill="1" applyBorder="1" applyAlignment="1">
      <alignment horizontal="left" vertical="center" shrinkToFit="1"/>
    </xf>
    <xf numFmtId="0" fontId="9" fillId="2" borderId="6" xfId="0" applyFont="1" applyFill="1" applyBorder="1" applyAlignment="1">
      <alignment horizontal="left" vertical="center" shrinkToFit="1"/>
    </xf>
    <xf numFmtId="177" fontId="9" fillId="2" borderId="12" xfId="0" applyNumberFormat="1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>
      <alignment vertical="center"/>
    </xf>
    <xf numFmtId="185" fontId="5" fillId="2" borderId="15" xfId="0" applyNumberFormat="1" applyFont="1" applyFill="1" applyBorder="1" applyAlignment="1">
      <alignment horizontal="center" vertical="center"/>
    </xf>
    <xf numFmtId="185" fontId="5" fillId="2" borderId="16" xfId="0" applyNumberFormat="1" applyFont="1" applyFill="1" applyBorder="1" applyAlignment="1">
      <alignment horizontal="center" vertical="center"/>
    </xf>
    <xf numFmtId="182" fontId="3" fillId="0" borderId="14" xfId="0" applyNumberFormat="1" applyFont="1" applyFill="1" applyBorder="1" applyAlignment="1">
      <alignment horizontal="center" vertical="center" shrinkToFit="1"/>
    </xf>
    <xf numFmtId="185" fontId="3" fillId="0" borderId="1" xfId="0" applyNumberFormat="1" applyFont="1" applyFill="1" applyBorder="1" applyAlignment="1">
      <alignment horizontal="right" vertical="center"/>
    </xf>
    <xf numFmtId="9" fontId="3" fillId="0" borderId="1" xfId="0" applyNumberFormat="1" applyFont="1" applyFill="1" applyBorder="1" applyAlignment="1">
      <alignment horizontal="right" vertical="center"/>
    </xf>
    <xf numFmtId="178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right" vertical="center"/>
    </xf>
    <xf numFmtId="9" fontId="3" fillId="0" borderId="17" xfId="0" applyNumberFormat="1" applyFont="1" applyBorder="1" applyAlignment="1">
      <alignment horizontal="center" vertical="center"/>
    </xf>
    <xf numFmtId="185" fontId="3" fillId="0" borderId="1" xfId="0" applyNumberFormat="1" applyFont="1" applyBorder="1" applyAlignment="1">
      <alignment horizontal="right" vertical="center"/>
    </xf>
    <xf numFmtId="0" fontId="9" fillId="2" borderId="18" xfId="0" applyFont="1" applyFill="1" applyBorder="1" applyAlignment="1">
      <alignment horizontal="left" vertical="center" shrinkToFit="1"/>
    </xf>
    <xf numFmtId="0" fontId="9" fillId="2" borderId="0" xfId="0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6" fillId="0" borderId="17" xfId="0" applyFont="1" applyBorder="1">
      <alignment vertical="center"/>
    </xf>
    <xf numFmtId="0" fontId="11" fillId="0" borderId="13" xfId="0" applyFont="1" applyFill="1" applyBorder="1">
      <alignment vertical="center"/>
    </xf>
    <xf numFmtId="0" fontId="12" fillId="0" borderId="13" xfId="0" applyFont="1" applyFill="1" applyBorder="1">
      <alignment vertical="center"/>
    </xf>
    <xf numFmtId="0" fontId="13" fillId="0" borderId="13" xfId="0" applyFont="1" applyFill="1" applyBorder="1">
      <alignment vertical="center"/>
    </xf>
    <xf numFmtId="0" fontId="13" fillId="0" borderId="13" xfId="0" applyFont="1" applyBorder="1">
      <alignment vertical="center"/>
    </xf>
    <xf numFmtId="178" fontId="9" fillId="2" borderId="19" xfId="0" applyNumberFormat="1" applyFont="1" applyFill="1" applyBorder="1" applyAlignment="1">
      <alignment horizontal="center" vertical="center"/>
    </xf>
    <xf numFmtId="185" fontId="9" fillId="2" borderId="19" xfId="0" applyNumberFormat="1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9" fontId="9" fillId="2" borderId="19" xfId="0" applyNumberFormat="1" applyFont="1" applyFill="1" applyBorder="1" applyAlignment="1">
      <alignment horizontal="center" vertical="center"/>
    </xf>
    <xf numFmtId="0" fontId="14" fillId="2" borderId="18" xfId="0" applyFont="1" applyFill="1" applyBorder="1" applyAlignment="1">
      <alignment horizontal="left" vertical="center"/>
    </xf>
    <xf numFmtId="0" fontId="15" fillId="2" borderId="18" xfId="0" applyFont="1" applyFill="1" applyBorder="1" applyAlignment="1">
      <alignment horizontal="left" vertical="center"/>
    </xf>
    <xf numFmtId="0" fontId="16" fillId="2" borderId="18" xfId="0" applyFont="1" applyFill="1" applyBorder="1" applyAlignment="1">
      <alignment horizontal="left" vertical="center"/>
    </xf>
    <xf numFmtId="0" fontId="9" fillId="2" borderId="18" xfId="0" applyFont="1" applyFill="1" applyBorder="1" applyAlignment="1">
      <alignment horizontal="left" vertical="center"/>
    </xf>
    <xf numFmtId="0" fontId="9" fillId="2" borderId="20" xfId="0" applyFont="1" applyFill="1" applyBorder="1" applyAlignment="1">
      <alignment horizontal="left" vertical="center"/>
    </xf>
    <xf numFmtId="178" fontId="9" fillId="2" borderId="18" xfId="0" applyNumberFormat="1" applyFont="1" applyFill="1" applyBorder="1" applyAlignment="1">
      <alignment horizontal="center" vertical="center"/>
    </xf>
    <xf numFmtId="185" fontId="17" fillId="2" borderId="18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185" fontId="9" fillId="2" borderId="18" xfId="0" applyNumberFormat="1" applyFont="1" applyFill="1" applyBorder="1" applyAlignment="1">
      <alignment horizontal="center" vertical="center"/>
    </xf>
    <xf numFmtId="9" fontId="9" fillId="2" borderId="18" xfId="0" applyNumberFormat="1" applyFont="1" applyFill="1" applyBorder="1" applyAlignment="1">
      <alignment horizontal="center" vertical="center"/>
    </xf>
    <xf numFmtId="9" fontId="9" fillId="2" borderId="20" xfId="0" applyNumberFormat="1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right" vertical="center"/>
    </xf>
    <xf numFmtId="0" fontId="13" fillId="0" borderId="13" xfId="0" applyFont="1" applyFill="1" applyBorder="1" applyAlignment="1">
      <alignment horizontal="right" vertical="center"/>
    </xf>
    <xf numFmtId="0" fontId="13" fillId="0" borderId="22" xfId="0" applyFont="1" applyBorder="1" applyAlignment="1">
      <alignment horizontal="right" vertical="center"/>
    </xf>
    <xf numFmtId="185" fontId="4" fillId="0" borderId="1" xfId="0" applyNumberFormat="1" applyFont="1" applyFill="1" applyBorder="1">
      <alignment vertical="center"/>
    </xf>
    <xf numFmtId="0" fontId="18" fillId="0" borderId="17" xfId="0" applyFont="1" applyFill="1" applyBorder="1">
      <alignment vertical="center"/>
    </xf>
    <xf numFmtId="0" fontId="9" fillId="0" borderId="1" xfId="0" applyFont="1" applyBorder="1" applyAlignment="1">
      <alignment horizontal="center" vertical="center" shrinkToFit="1"/>
    </xf>
    <xf numFmtId="181" fontId="9" fillId="2" borderId="0" xfId="0" applyNumberFormat="1" applyFont="1" applyFill="1" applyBorder="1" applyAlignment="1">
      <alignment horizontal="center" vertical="center" shrinkToFit="1"/>
    </xf>
    <xf numFmtId="181" fontId="4" fillId="0" borderId="1" xfId="0" applyNumberFormat="1" applyFont="1" applyFill="1" applyBorder="1" applyAlignment="1">
      <alignment horizontal="center" vertical="center" shrinkToFit="1"/>
    </xf>
    <xf numFmtId="181" fontId="4" fillId="0" borderId="1" xfId="0" applyNumberFormat="1" applyFont="1" applyBorder="1" applyAlignment="1">
      <alignment horizontal="center" vertical="center" shrinkToFit="1"/>
    </xf>
    <xf numFmtId="0" fontId="5" fillId="2" borderId="18" xfId="0" applyFont="1" applyFill="1" applyBorder="1" applyAlignment="1">
      <alignment horizontal="left" vertical="center"/>
    </xf>
    <xf numFmtId="9" fontId="3" fillId="0" borderId="23" xfId="0" applyNumberFormat="1" applyFont="1" applyFill="1" applyBorder="1" applyAlignment="1">
      <alignment horizontal="center" vertical="center"/>
    </xf>
    <xf numFmtId="178" fontId="5" fillId="2" borderId="6" xfId="0" applyNumberFormat="1" applyFont="1" applyFill="1" applyBorder="1" applyAlignment="1">
      <alignment horizontal="left" vertical="center" shrinkToFit="1"/>
    </xf>
    <xf numFmtId="178" fontId="5" fillId="2" borderId="24" xfId="0" applyNumberFormat="1" applyFont="1" applyFill="1" applyBorder="1" applyAlignment="1">
      <alignment horizontal="center" vertical="center" shrinkToFit="1"/>
    </xf>
    <xf numFmtId="178" fontId="9" fillId="2" borderId="19" xfId="0" applyNumberFormat="1" applyFont="1" applyFill="1" applyBorder="1" applyAlignment="1">
      <alignment horizontal="center" vertical="center" shrinkToFit="1"/>
    </xf>
    <xf numFmtId="178" fontId="9" fillId="2" borderId="18" xfId="0" applyNumberFormat="1" applyFont="1" applyFill="1" applyBorder="1" applyAlignment="1">
      <alignment horizontal="center" vertical="center" shrinkToFit="1"/>
    </xf>
    <xf numFmtId="178" fontId="3" fillId="0" borderId="1" xfId="0" applyNumberFormat="1" applyFont="1" applyFill="1" applyBorder="1" applyAlignment="1">
      <alignment horizontal="center" vertical="center" shrinkToFit="1"/>
    </xf>
    <xf numFmtId="180" fontId="3" fillId="0" borderId="1" xfId="0" applyNumberFormat="1" applyFont="1" applyFill="1" applyBorder="1" applyAlignment="1">
      <alignment horizontal="center" vertical="center" shrinkToFit="1"/>
    </xf>
    <xf numFmtId="178" fontId="3" fillId="0" borderId="1" xfId="0" applyNumberFormat="1" applyFont="1" applyBorder="1" applyAlignment="1">
      <alignment horizontal="center" vertical="center" shrinkToFit="1"/>
    </xf>
    <xf numFmtId="0" fontId="4" fillId="0" borderId="0" xfId="0" applyFont="1" applyFill="1">
      <alignment vertical="center"/>
    </xf>
    <xf numFmtId="183" fontId="1" fillId="0" borderId="25" xfId="0" applyNumberFormat="1" applyFont="1" applyFill="1" applyBorder="1" applyAlignment="1">
      <alignment horizontal="center" vertical="center"/>
    </xf>
    <xf numFmtId="177" fontId="1" fillId="0" borderId="25" xfId="0" applyNumberFormat="1" applyFont="1" applyFill="1" applyBorder="1">
      <alignment vertical="center"/>
    </xf>
    <xf numFmtId="0" fontId="1" fillId="0" borderId="0" xfId="0" applyFont="1" applyFill="1">
      <alignment vertical="center"/>
    </xf>
    <xf numFmtId="177" fontId="1" fillId="0" borderId="25" xfId="0" applyNumberFormat="1" applyFont="1" applyFill="1" applyBorder="1" applyAlignment="1">
      <alignment horizontal="center" vertical="center"/>
    </xf>
    <xf numFmtId="183" fontId="1" fillId="0" borderId="0" xfId="0" applyNumberFormat="1" applyFont="1" applyFill="1" applyAlignment="1">
      <alignment horizontal="center" vertical="center"/>
    </xf>
    <xf numFmtId="177" fontId="1" fillId="0" borderId="0" xfId="0" applyNumberFormat="1" applyFont="1" applyFill="1">
      <alignment vertical="center"/>
    </xf>
    <xf numFmtId="0" fontId="19" fillId="0" borderId="13" xfId="0" applyFont="1" applyFill="1" applyBorder="1">
      <alignment vertical="center"/>
    </xf>
    <xf numFmtId="0" fontId="20" fillId="2" borderId="18" xfId="0" applyFont="1" applyFill="1" applyBorder="1" applyAlignment="1">
      <alignment horizontal="left" vertical="center"/>
    </xf>
    <xf numFmtId="0" fontId="19" fillId="0" borderId="13" xfId="0" applyFont="1" applyBorder="1">
      <alignment vertical="center"/>
    </xf>
    <xf numFmtId="0" fontId="21" fillId="3" borderId="1" xfId="0" applyFont="1" applyFill="1" applyBorder="1" applyAlignment="1">
      <alignment vertical="center" shrinkToFit="1"/>
    </xf>
    <xf numFmtId="185" fontId="21" fillId="3" borderId="1" xfId="0" applyNumberFormat="1" applyFont="1" applyFill="1" applyBorder="1">
      <alignment vertical="center"/>
    </xf>
    <xf numFmtId="0" fontId="22" fillId="3" borderId="13" xfId="0" applyFont="1" applyFill="1" applyBorder="1">
      <alignment vertical="center"/>
    </xf>
    <xf numFmtId="0" fontId="6" fillId="3" borderId="13" xfId="0" applyFont="1" applyFill="1" applyBorder="1">
      <alignment vertical="center"/>
    </xf>
    <xf numFmtId="0" fontId="23" fillId="3" borderId="13" xfId="0" applyFont="1" applyFill="1" applyBorder="1">
      <alignment vertical="center"/>
    </xf>
    <xf numFmtId="0" fontId="24" fillId="3" borderId="13" xfId="0" applyFont="1" applyFill="1" applyBorder="1">
      <alignment vertical="center"/>
    </xf>
    <xf numFmtId="0" fontId="25" fillId="3" borderId="13" xfId="0" applyFont="1" applyFill="1" applyBorder="1">
      <alignment vertical="center"/>
    </xf>
    <xf numFmtId="0" fontId="26" fillId="3" borderId="13" xfId="0" applyFont="1" applyFill="1" applyBorder="1">
      <alignment vertical="center"/>
    </xf>
    <xf numFmtId="0" fontId="24" fillId="3" borderId="13" xfId="0" applyFont="1" applyFill="1" applyBorder="1" applyAlignment="1">
      <alignment horizontal="right" vertical="center"/>
    </xf>
    <xf numFmtId="178" fontId="25" fillId="3" borderId="1" xfId="0" applyNumberFormat="1" applyFont="1" applyFill="1" applyBorder="1" applyAlignment="1">
      <alignment horizontal="center" vertical="center" shrinkToFit="1"/>
    </xf>
    <xf numFmtId="180" fontId="25" fillId="3" borderId="1" xfId="0" applyNumberFormat="1" applyFont="1" applyFill="1" applyBorder="1" applyAlignment="1">
      <alignment horizontal="center" vertical="center" shrinkToFit="1"/>
    </xf>
    <xf numFmtId="185" fontId="25" fillId="3" borderId="1" xfId="0" applyNumberFormat="1" applyFont="1" applyFill="1" applyBorder="1" applyAlignment="1">
      <alignment horizontal="center" vertical="center"/>
    </xf>
    <xf numFmtId="178" fontId="25" fillId="3" borderId="1" xfId="0" applyNumberFormat="1" applyFont="1" applyFill="1" applyBorder="1" applyAlignment="1">
      <alignment horizontal="center" vertical="center"/>
    </xf>
    <xf numFmtId="185" fontId="25" fillId="3" borderId="1" xfId="0" applyNumberFormat="1" applyFont="1" applyFill="1" applyBorder="1" applyAlignment="1">
      <alignment horizontal="right" vertical="center"/>
    </xf>
    <xf numFmtId="9" fontId="25" fillId="3" borderId="1" xfId="0" applyNumberFormat="1" applyFont="1" applyFill="1" applyBorder="1" applyAlignment="1">
      <alignment horizontal="right" vertical="center"/>
    </xf>
    <xf numFmtId="9" fontId="25" fillId="3" borderId="23" xfId="0" applyNumberFormat="1" applyFont="1" applyFill="1" applyBorder="1" applyAlignment="1">
      <alignment horizontal="center" vertical="center"/>
    </xf>
    <xf numFmtId="185" fontId="25" fillId="3" borderId="1" xfId="0" applyNumberFormat="1" applyFont="1" applyFill="1" applyBorder="1" applyAlignment="1">
      <alignment horizontal="center" vertical="center" shrinkToFit="1"/>
    </xf>
    <xf numFmtId="185" fontId="21" fillId="3" borderId="1" xfId="0" applyNumberFormat="1" applyFont="1" applyFill="1" applyBorder="1" applyAlignment="1">
      <alignment vertical="center" shrinkToFit="1"/>
    </xf>
    <xf numFmtId="0" fontId="22" fillId="3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vertical="center" shrinkToFit="1"/>
    </xf>
    <xf numFmtId="181" fontId="4" fillId="4" borderId="1" xfId="0" applyNumberFormat="1" applyFont="1" applyFill="1" applyBorder="1" applyAlignment="1">
      <alignment horizontal="center" vertical="center" shrinkToFit="1"/>
    </xf>
    <xf numFmtId="185" fontId="4" fillId="4" borderId="1" xfId="0" applyNumberFormat="1" applyFont="1" applyFill="1" applyBorder="1">
      <alignment vertical="center"/>
    </xf>
    <xf numFmtId="0" fontId="19" fillId="4" borderId="13" xfId="0" applyFont="1" applyFill="1" applyBorder="1">
      <alignment vertical="center"/>
    </xf>
    <xf numFmtId="0" fontId="7" fillId="4" borderId="13" xfId="0" applyFont="1" applyFill="1" applyBorder="1">
      <alignment vertical="center"/>
    </xf>
    <xf numFmtId="0" fontId="12" fillId="4" borderId="13" xfId="0" applyFont="1" applyFill="1" applyBorder="1">
      <alignment vertical="center"/>
    </xf>
    <xf numFmtId="0" fontId="13" fillId="4" borderId="13" xfId="0" applyFont="1" applyFill="1" applyBorder="1">
      <alignment vertical="center"/>
    </xf>
    <xf numFmtId="0" fontId="3" fillId="4" borderId="13" xfId="0" applyFont="1" applyFill="1" applyBorder="1">
      <alignment vertical="center"/>
    </xf>
    <xf numFmtId="0" fontId="11" fillId="4" borderId="13" xfId="0" applyFont="1" applyFill="1" applyBorder="1">
      <alignment vertical="center"/>
    </xf>
    <xf numFmtId="0" fontId="13" fillId="4" borderId="13" xfId="0" applyFont="1" applyFill="1" applyBorder="1" applyAlignment="1">
      <alignment horizontal="right" vertical="center"/>
    </xf>
    <xf numFmtId="178" fontId="3" fillId="4" borderId="1" xfId="0" applyNumberFormat="1" applyFont="1" applyFill="1" applyBorder="1" applyAlignment="1">
      <alignment horizontal="center" vertical="center" shrinkToFit="1"/>
    </xf>
    <xf numFmtId="185" fontId="3" fillId="4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185" fontId="3" fillId="4" borderId="1" xfId="0" applyNumberFormat="1" applyFont="1" applyFill="1" applyBorder="1" applyAlignment="1">
      <alignment horizontal="right" vertical="center"/>
    </xf>
    <xf numFmtId="9" fontId="3" fillId="4" borderId="23" xfId="0" applyNumberFormat="1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center" vertical="center" shrinkToFit="1"/>
    </xf>
    <xf numFmtId="185" fontId="4" fillId="4" borderId="1" xfId="0" applyNumberFormat="1" applyFont="1" applyFill="1" applyBorder="1" applyAlignment="1">
      <alignment vertical="center" shrinkToFit="1"/>
    </xf>
    <xf numFmtId="0" fontId="4" fillId="0" borderId="0" xfId="0" applyFont="1">
      <alignment vertical="center"/>
    </xf>
    <xf numFmtId="185" fontId="20" fillId="4" borderId="13" xfId="0" applyNumberFormat="1" applyFont="1" applyFill="1" applyBorder="1">
      <alignment vertical="center"/>
    </xf>
    <xf numFmtId="9" fontId="7" fillId="4" borderId="1" xfId="0" applyNumberFormat="1" applyFont="1" applyFill="1" applyBorder="1" applyAlignment="1">
      <alignment horizontal="right" vertical="center"/>
    </xf>
    <xf numFmtId="185" fontId="3" fillId="0" borderId="1" xfId="0" applyNumberFormat="1" applyFont="1" applyFill="1" applyBorder="1" applyAlignment="1">
      <alignment horizontal="center" vertical="center"/>
    </xf>
    <xf numFmtId="0" fontId="3" fillId="0" borderId="13" xfId="0" applyFont="1" applyFill="1" applyBorder="1">
      <alignment vertical="center"/>
    </xf>
    <xf numFmtId="0" fontId="7" fillId="0" borderId="13" xfId="0" applyFont="1" applyFill="1" applyBorder="1">
      <alignment vertical="center"/>
    </xf>
    <xf numFmtId="185" fontId="3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vertical="center" shrinkToFit="1"/>
    </xf>
    <xf numFmtId="0" fontId="11" fillId="0" borderId="13" xfId="0" applyFont="1" applyFill="1" applyBorder="1">
      <alignment vertical="center"/>
    </xf>
    <xf numFmtId="0" fontId="12" fillId="0" borderId="13" xfId="0" applyFont="1" applyFill="1" applyBorder="1">
      <alignment vertical="center"/>
    </xf>
    <xf numFmtId="0" fontId="13" fillId="0" borderId="13" xfId="0" applyFont="1" applyFill="1" applyBorder="1">
      <alignment vertical="center"/>
    </xf>
    <xf numFmtId="0" fontId="13" fillId="0" borderId="13" xfId="0" applyFont="1" applyFill="1" applyBorder="1" applyAlignment="1">
      <alignment horizontal="right" vertical="center"/>
    </xf>
    <xf numFmtId="185" fontId="4" fillId="0" borderId="1" xfId="0" applyNumberFormat="1" applyFont="1" applyFill="1" applyBorder="1">
      <alignment vertical="center"/>
    </xf>
    <xf numFmtId="181" fontId="4" fillId="0" borderId="1" xfId="0" applyNumberFormat="1" applyFont="1" applyFill="1" applyBorder="1" applyAlignment="1">
      <alignment horizontal="center" vertical="center" shrinkToFit="1"/>
    </xf>
    <xf numFmtId="9" fontId="3" fillId="0" borderId="23" xfId="0" applyNumberFormat="1" applyFont="1" applyFill="1" applyBorder="1" applyAlignment="1">
      <alignment horizontal="center" vertical="center"/>
    </xf>
    <xf numFmtId="185" fontId="4" fillId="0" borderId="1" xfId="0" applyNumberFormat="1" applyFont="1" applyFill="1" applyBorder="1" applyAlignment="1">
      <alignment vertical="center" shrinkToFit="1"/>
    </xf>
    <xf numFmtId="0" fontId="7" fillId="0" borderId="1" xfId="0" applyFont="1" applyFill="1" applyBorder="1" applyAlignment="1">
      <alignment horizontal="left" vertical="center"/>
    </xf>
    <xf numFmtId="0" fontId="7" fillId="0" borderId="1" xfId="0" applyNumberFormat="1" applyFont="1" applyFill="1" applyBorder="1" applyAlignment="1">
      <alignment horizontal="left" vertical="center"/>
    </xf>
    <xf numFmtId="0" fontId="19" fillId="0" borderId="13" xfId="0" applyFont="1" applyFill="1" applyBorder="1">
      <alignment vertical="center"/>
    </xf>
    <xf numFmtId="185" fontId="3" fillId="0" borderId="1" xfId="0" applyNumberFormat="1" applyFont="1" applyFill="1" applyBorder="1" applyAlignment="1">
      <alignment horizontal="center" vertical="center" shrinkToFit="1"/>
    </xf>
    <xf numFmtId="178" fontId="3" fillId="0" borderId="1" xfId="0" applyNumberFormat="1" applyFont="1" applyFill="1" applyBorder="1" applyAlignment="1">
      <alignment horizontal="center" vertical="center" shrinkToFit="1"/>
    </xf>
    <xf numFmtId="185" fontId="3" fillId="0" borderId="1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0" fillId="0" borderId="42" xfId="0" applyBorder="1">
      <alignment vertical="center"/>
    </xf>
    <xf numFmtId="14" fontId="0" fillId="0" borderId="42" xfId="0" applyNumberFormat="1" applyBorder="1" applyAlignment="1">
      <alignment horizontal="left" vertical="center"/>
    </xf>
    <xf numFmtId="0" fontId="0" fillId="6" borderId="42" xfId="0" applyFill="1" applyBorder="1">
      <alignment vertical="center"/>
    </xf>
    <xf numFmtId="0" fontId="0" fillId="7" borderId="42" xfId="0" applyFill="1" applyBorder="1" applyAlignment="1">
      <alignment horizontal="left" vertical="center"/>
    </xf>
    <xf numFmtId="0" fontId="0" fillId="7" borderId="42" xfId="0" applyFill="1" applyBorder="1">
      <alignment vertical="center"/>
    </xf>
    <xf numFmtId="0" fontId="0" fillId="0" borderId="42" xfId="0" applyFill="1" applyBorder="1">
      <alignment vertical="center"/>
    </xf>
    <xf numFmtId="0" fontId="0" fillId="0" borderId="42" xfId="0" applyFill="1" applyBorder="1" applyAlignment="1">
      <alignment vertical="center" wrapText="1"/>
    </xf>
    <xf numFmtId="178" fontId="5" fillId="2" borderId="0" xfId="0" applyNumberFormat="1" applyFont="1" applyFill="1" applyBorder="1" applyAlignment="1">
      <alignment horizontal="center" vertical="center"/>
    </xf>
    <xf numFmtId="178" fontId="5" fillId="2" borderId="24" xfId="0" applyNumberFormat="1" applyFont="1" applyFill="1" applyBorder="1" applyAlignment="1">
      <alignment horizontal="center" vertical="center"/>
    </xf>
    <xf numFmtId="9" fontId="9" fillId="2" borderId="40" xfId="0" applyNumberFormat="1" applyFont="1" applyFill="1" applyBorder="1" applyAlignment="1">
      <alignment horizontal="center" vertical="center"/>
    </xf>
    <xf numFmtId="9" fontId="9" fillId="2" borderId="41" xfId="0" applyNumberFormat="1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shrinkToFit="1"/>
    </xf>
    <xf numFmtId="0" fontId="9" fillId="2" borderId="19" xfId="0" applyFont="1" applyFill="1" applyBorder="1" applyAlignment="1">
      <alignment horizontal="center" vertical="center" shrinkToFit="1"/>
    </xf>
    <xf numFmtId="178" fontId="9" fillId="2" borderId="26" xfId="0" applyNumberFormat="1" applyFont="1" applyFill="1" applyBorder="1" applyAlignment="1">
      <alignment horizontal="center" vertical="center" shrinkToFit="1"/>
    </xf>
    <xf numFmtId="0" fontId="0" fillId="0" borderId="4" xfId="0" applyBorder="1">
      <alignment vertical="center"/>
    </xf>
    <xf numFmtId="0" fontId="0" fillId="0" borderId="39" xfId="0" applyBorder="1">
      <alignment vertical="center"/>
    </xf>
    <xf numFmtId="178" fontId="9" fillId="2" borderId="26" xfId="0" applyNumberFormat="1" applyFont="1" applyFill="1" applyBorder="1" applyAlignment="1">
      <alignment horizontal="center" vertical="center"/>
    </xf>
    <xf numFmtId="178" fontId="9" fillId="2" borderId="4" xfId="0" applyNumberFormat="1" applyFont="1" applyFill="1" applyBorder="1" applyAlignment="1">
      <alignment horizontal="center" vertical="center"/>
    </xf>
    <xf numFmtId="178" fontId="9" fillId="2" borderId="39" xfId="0" applyNumberFormat="1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vertical="center" shrinkToFit="1"/>
    </xf>
    <xf numFmtId="0" fontId="9" fillId="2" borderId="0" xfId="0" applyFont="1" applyFill="1" applyBorder="1" applyAlignment="1">
      <alignment vertical="center" shrinkToFit="1"/>
    </xf>
    <xf numFmtId="0" fontId="9" fillId="2" borderId="29" xfId="0" applyFont="1" applyFill="1" applyBorder="1" applyAlignment="1">
      <alignment vertical="center" shrinkToFit="1"/>
    </xf>
    <xf numFmtId="0" fontId="9" fillId="2" borderId="30" xfId="0" applyFont="1" applyFill="1" applyBorder="1" applyAlignment="1">
      <alignment vertical="center" shrinkToFit="1"/>
    </xf>
    <xf numFmtId="0" fontId="9" fillId="2" borderId="31" xfId="0" applyFont="1" applyFill="1" applyBorder="1" applyAlignment="1">
      <alignment vertical="center" shrinkToFit="1"/>
    </xf>
    <xf numFmtId="0" fontId="9" fillId="2" borderId="32" xfId="0" applyFont="1" applyFill="1" applyBorder="1" applyAlignment="1">
      <alignment vertical="center" shrinkToFit="1"/>
    </xf>
    <xf numFmtId="0" fontId="10" fillId="5" borderId="33" xfId="0" applyFont="1" applyFill="1" applyBorder="1" applyAlignment="1">
      <alignment horizontal="center" vertical="center" shrinkToFit="1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10" fillId="5" borderId="36" xfId="0" applyFont="1" applyFill="1" applyBorder="1" applyAlignment="1">
      <alignment horizontal="center" vertical="center" shrinkToFit="1"/>
    </xf>
    <xf numFmtId="0" fontId="0" fillId="0" borderId="37" xfId="0" applyBorder="1">
      <alignment vertical="center"/>
    </xf>
    <xf numFmtId="0" fontId="0" fillId="0" borderId="38" xfId="0" applyBorder="1">
      <alignment vertical="center"/>
    </xf>
  </cellXfs>
  <cellStyles count="1">
    <cellStyle name="標準" xfId="0" builtinId="0"/>
  </cellStyles>
  <dxfs count="26">
    <dxf>
      <fill>
        <patternFill>
          <bgColor indexed="22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b/>
        <i val="0"/>
        <condense val="0"/>
        <extend val="0"/>
        <color indexed="62"/>
      </font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ill>
        <patternFill>
          <bgColor indexed="44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ill>
        <patternFill>
          <bgColor indexed="44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7"/>
        </patternFill>
      </fill>
    </dxf>
    <dxf>
      <border>
        <left style="thin">
          <color indexed="9"/>
        </left>
      </border>
    </dxf>
    <dxf>
      <border>
        <left style="thin">
          <color indexed="9"/>
        </left>
      </border>
    </dxf>
    <dxf>
      <fill>
        <patternFill>
          <bgColor indexed="1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指定範囲で集計..."/>
  <ax:ocxPr ax:name="Size" ax:value="3175;767"/>
  <ax:ocxPr ax:name="FontName" ax:value="ＭＳ Ｐゴシック"/>
  <ax:ocxPr ax:name="FontHeight" ax:value="180"/>
  <ax:ocxPr ax:name="FontCharSet" ax:value="128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bs"/>
  <dimension ref="A1:HC91"/>
  <sheetViews>
    <sheetView tabSelected="1" zoomScale="85" zoomScaleNormal="85" workbookViewId="0">
      <pane xSplit="28" ySplit="5" topLeftCell="CH13" activePane="bottomRight" state="frozen"/>
      <selection pane="topRight" activeCell="AC1" sqref="AC1"/>
      <selection pane="bottomLeft" activeCell="A6" sqref="A6"/>
      <selection pane="bottomRight" activeCell="CM54" sqref="CM54"/>
    </sheetView>
  </sheetViews>
  <sheetFormatPr defaultRowHeight="12" outlineLevelCol="1"/>
  <cols>
    <col min="1" max="1" width="3.5" style="39" customWidth="1"/>
    <col min="2" max="3" width="2.625" style="40" customWidth="1" outlineLevel="1"/>
    <col min="4" max="4" width="2.625" style="70" customWidth="1" outlineLevel="1"/>
    <col min="5" max="5" width="2.625" style="67" customWidth="1" outlineLevel="1"/>
    <col min="6" max="6" width="2.625" style="40" customWidth="1" outlineLevel="1"/>
    <col min="7" max="7" width="5.625" style="42" customWidth="1"/>
    <col min="8" max="8" width="3.125" style="19" customWidth="1"/>
    <col min="9" max="9" width="3.125" style="89" customWidth="1"/>
    <col min="10" max="10" width="3.125" style="20" customWidth="1"/>
    <col min="11" max="11" width="3.125" style="18" customWidth="1"/>
    <col min="12" max="12" width="3.125" style="46" customWidth="1"/>
    <col min="13" max="13" width="3.125" style="18" customWidth="1"/>
    <col min="14" max="15" width="3.125" style="46" customWidth="1"/>
    <col min="16" max="18" width="3.125" style="46" customWidth="1" outlineLevel="1"/>
    <col min="19" max="19" width="3.125" style="64" customWidth="1" outlineLevel="1"/>
    <col min="20" max="21" width="4.625" style="79" customWidth="1"/>
    <col min="22" max="22" width="6.125" style="34" bestFit="1" customWidth="1"/>
    <col min="23" max="23" width="9.875" style="41" customWidth="1"/>
    <col min="24" max="25" width="5.125" style="31" customWidth="1" outlineLevel="1"/>
    <col min="26" max="26" width="5.625" style="34" customWidth="1" outlineLevel="1"/>
    <col min="27" max="27" width="5.625" style="32" customWidth="1" outlineLevel="1"/>
    <col min="28" max="28" width="5.125" style="33" customWidth="1"/>
    <col min="29" max="29" width="4.125" style="4" customWidth="1"/>
    <col min="30" max="31" width="4.375" style="2" customWidth="1"/>
    <col min="32" max="183" width="4.625" style="2" customWidth="1"/>
    <col min="184" max="211" width="4.625" style="25" customWidth="1"/>
    <col min="212" max="16384" width="9" style="25"/>
  </cols>
  <sheetData>
    <row r="1" spans="1:211" s="22" customFormat="1" ht="12" customHeight="1">
      <c r="A1" s="178" t="s">
        <v>41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80"/>
      <c r="T1" s="73"/>
      <c r="U1" s="73"/>
      <c r="V1" s="26"/>
      <c r="W1" s="21" t="s">
        <v>39</v>
      </c>
      <c r="X1" s="160"/>
      <c r="Y1" s="160"/>
      <c r="Z1" s="160"/>
      <c r="AA1" s="160"/>
      <c r="AB1" s="160"/>
      <c r="AC1" s="5">
        <f>IF(YEAR(AB$4)&lt;&gt;YEAR(AC$4),AC$4,"")</f>
        <v>41001</v>
      </c>
      <c r="AD1" s="6" t="str">
        <f t="shared" ref="AD1:CP1" si="0">IF(YEAR(AC$4)&lt;&gt;YEAR(AD$4),AD$4,"")</f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>IF(YEAR(AS$4)&lt;&gt;YEAR(AU$4),AU$4,"")</f>
        <v/>
      </c>
      <c r="AV1" s="6" t="str">
        <f>IF(YEAR(AT$4)&lt;&gt;YEAR(AV$4),AV$4,"")</f>
        <v/>
      </c>
      <c r="AW1" s="6"/>
      <c r="AX1" s="6"/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>IF(YEAR(BS$4)&lt;&gt;YEAR(BT$4),BT$4,"")</f>
        <v/>
      </c>
      <c r="BU1" s="6" t="str">
        <f>IF(YEAR(BT$4)&lt;&gt;YEAR(BU$4),BU$4,"")</f>
        <v/>
      </c>
      <c r="BV1" s="6" t="str">
        <f>IF(YEAR(BU$4)&lt;&gt;YEAR(BV$4),BV$4,"")</f>
        <v/>
      </c>
      <c r="BW1" s="6" t="str">
        <f t="shared" si="0"/>
        <v/>
      </c>
      <c r="BX1" s="6" t="str">
        <f t="shared" si="0"/>
        <v/>
      </c>
      <c r="BY1" s="6" t="str">
        <f>IF(YEAR(BX$4)&lt;&gt;YEAR(BY$4),BY$4,"")</f>
        <v/>
      </c>
      <c r="BZ1" s="6" t="str">
        <f t="shared" si="0"/>
        <v/>
      </c>
      <c r="CA1" s="6" t="str">
        <f t="shared" si="0"/>
        <v/>
      </c>
      <c r="CB1" s="6" t="str">
        <f t="shared" si="0"/>
        <v/>
      </c>
      <c r="CC1" s="6" t="str">
        <f t="shared" si="0"/>
        <v/>
      </c>
      <c r="CD1" s="6" t="str">
        <f t="shared" si="0"/>
        <v/>
      </c>
      <c r="CE1" s="6" t="str">
        <f t="shared" si="0"/>
        <v/>
      </c>
      <c r="CF1" s="6" t="str">
        <f t="shared" si="0"/>
        <v/>
      </c>
      <c r="CG1" s="6" t="str">
        <f t="shared" si="0"/>
        <v/>
      </c>
      <c r="CH1" s="6" t="str">
        <f t="shared" si="0"/>
        <v/>
      </c>
      <c r="CI1" s="6" t="str">
        <f t="shared" si="0"/>
        <v/>
      </c>
      <c r="CJ1" s="6" t="str">
        <f t="shared" si="0"/>
        <v/>
      </c>
      <c r="CK1" s="6" t="str">
        <f t="shared" si="0"/>
        <v/>
      </c>
      <c r="CL1" s="6" t="str">
        <f t="shared" si="0"/>
        <v/>
      </c>
      <c r="CM1" s="6" t="str">
        <f t="shared" si="0"/>
        <v/>
      </c>
      <c r="CN1" s="6" t="str">
        <f t="shared" si="0"/>
        <v/>
      </c>
      <c r="CO1" s="6" t="str">
        <f t="shared" si="0"/>
        <v/>
      </c>
      <c r="CP1" s="6" t="str">
        <f t="shared" si="0"/>
        <v/>
      </c>
      <c r="CQ1" s="6" t="str">
        <f t="shared" ref="CQ1:FB1" si="1">IF(YEAR(CP$4)&lt;&gt;YEAR(CQ$4),CQ$4,"")</f>
        <v/>
      </c>
      <c r="CR1" s="6" t="str">
        <f t="shared" si="1"/>
        <v/>
      </c>
      <c r="CS1" s="6" t="str">
        <f t="shared" si="1"/>
        <v/>
      </c>
      <c r="CT1" s="6" t="str">
        <f t="shared" si="1"/>
        <v/>
      </c>
      <c r="CU1" s="6" t="str">
        <f t="shared" si="1"/>
        <v/>
      </c>
      <c r="CV1" s="6" t="str">
        <f t="shared" si="1"/>
        <v/>
      </c>
      <c r="CW1" s="6" t="str">
        <f t="shared" si="1"/>
        <v/>
      </c>
      <c r="CX1" s="6" t="str">
        <f t="shared" si="1"/>
        <v/>
      </c>
      <c r="CY1" s="6" t="str">
        <f t="shared" si="1"/>
        <v/>
      </c>
      <c r="CZ1" s="6" t="str">
        <f t="shared" si="1"/>
        <v/>
      </c>
      <c r="DA1" s="6" t="str">
        <f t="shared" si="1"/>
        <v/>
      </c>
      <c r="DB1" s="6" t="str">
        <f t="shared" si="1"/>
        <v/>
      </c>
      <c r="DC1" s="6" t="str">
        <f t="shared" si="1"/>
        <v/>
      </c>
      <c r="DD1" s="6" t="str">
        <f t="shared" si="1"/>
        <v/>
      </c>
      <c r="DE1" s="6" t="str">
        <f t="shared" si="1"/>
        <v/>
      </c>
      <c r="DF1" s="6" t="str">
        <f t="shared" si="1"/>
        <v/>
      </c>
      <c r="DG1" s="6" t="str">
        <f t="shared" si="1"/>
        <v/>
      </c>
      <c r="DH1" s="6" t="str">
        <f t="shared" si="1"/>
        <v/>
      </c>
      <c r="DI1" s="6" t="str">
        <f t="shared" si="1"/>
        <v/>
      </c>
      <c r="DJ1" s="6" t="str">
        <f t="shared" si="1"/>
        <v/>
      </c>
      <c r="DK1" s="6" t="str">
        <f t="shared" si="1"/>
        <v/>
      </c>
      <c r="DL1" s="6" t="str">
        <f t="shared" si="1"/>
        <v/>
      </c>
      <c r="DM1" s="6" t="str">
        <f t="shared" si="1"/>
        <v/>
      </c>
      <c r="DN1" s="6" t="str">
        <f t="shared" si="1"/>
        <v/>
      </c>
      <c r="DO1" s="6" t="str">
        <f t="shared" si="1"/>
        <v/>
      </c>
      <c r="DP1" s="6" t="str">
        <f t="shared" si="1"/>
        <v/>
      </c>
      <c r="DQ1" s="6" t="str">
        <f t="shared" si="1"/>
        <v/>
      </c>
      <c r="DR1" s="6" t="str">
        <f t="shared" si="1"/>
        <v/>
      </c>
      <c r="DS1" s="6" t="str">
        <f t="shared" si="1"/>
        <v/>
      </c>
      <c r="DT1" s="6" t="str">
        <f t="shared" si="1"/>
        <v/>
      </c>
      <c r="DU1" s="6" t="str">
        <f t="shared" si="1"/>
        <v/>
      </c>
      <c r="DV1" s="6" t="str">
        <f t="shared" si="1"/>
        <v/>
      </c>
      <c r="DW1" s="6" t="str">
        <f t="shared" si="1"/>
        <v/>
      </c>
      <c r="DX1" s="6" t="str">
        <f t="shared" si="1"/>
        <v/>
      </c>
      <c r="DY1" s="6" t="str">
        <f t="shared" si="1"/>
        <v/>
      </c>
      <c r="DZ1" s="6" t="str">
        <f t="shared" si="1"/>
        <v/>
      </c>
      <c r="EA1" s="6" t="str">
        <f t="shared" si="1"/>
        <v/>
      </c>
      <c r="EB1" s="6" t="str">
        <f t="shared" si="1"/>
        <v/>
      </c>
      <c r="EC1" s="6" t="str">
        <f t="shared" si="1"/>
        <v/>
      </c>
      <c r="ED1" s="6" t="str">
        <f t="shared" si="1"/>
        <v/>
      </c>
      <c r="EE1" s="6" t="str">
        <f t="shared" si="1"/>
        <v/>
      </c>
      <c r="EF1" s="6" t="str">
        <f t="shared" si="1"/>
        <v/>
      </c>
      <c r="EG1" s="6" t="str">
        <f t="shared" si="1"/>
        <v/>
      </c>
      <c r="EH1" s="6" t="str">
        <f t="shared" si="1"/>
        <v/>
      </c>
      <c r="EI1" s="6" t="str">
        <f t="shared" si="1"/>
        <v/>
      </c>
      <c r="EJ1" s="6" t="str">
        <f t="shared" si="1"/>
        <v/>
      </c>
      <c r="EK1" s="6" t="str">
        <f t="shared" si="1"/>
        <v/>
      </c>
      <c r="EL1" s="6" t="str">
        <f t="shared" si="1"/>
        <v/>
      </c>
      <c r="EM1" s="6" t="str">
        <f t="shared" si="1"/>
        <v/>
      </c>
      <c r="EN1" s="6" t="str">
        <f t="shared" si="1"/>
        <v/>
      </c>
      <c r="EO1" s="6" t="str">
        <f t="shared" si="1"/>
        <v/>
      </c>
      <c r="EP1" s="6" t="str">
        <f t="shared" si="1"/>
        <v/>
      </c>
      <c r="EQ1" s="6" t="str">
        <f t="shared" si="1"/>
        <v/>
      </c>
      <c r="ER1" s="6" t="str">
        <f t="shared" si="1"/>
        <v/>
      </c>
      <c r="ES1" s="6" t="str">
        <f t="shared" si="1"/>
        <v/>
      </c>
      <c r="ET1" s="6" t="str">
        <f t="shared" si="1"/>
        <v/>
      </c>
      <c r="EU1" s="6" t="str">
        <f t="shared" si="1"/>
        <v/>
      </c>
      <c r="EV1" s="6" t="str">
        <f t="shared" si="1"/>
        <v/>
      </c>
      <c r="EW1" s="6" t="str">
        <f t="shared" si="1"/>
        <v/>
      </c>
      <c r="EX1" s="6" t="str">
        <f t="shared" si="1"/>
        <v/>
      </c>
      <c r="EY1" s="6" t="str">
        <f t="shared" si="1"/>
        <v/>
      </c>
      <c r="EZ1" s="6" t="str">
        <f t="shared" si="1"/>
        <v/>
      </c>
      <c r="FA1" s="6" t="str">
        <f t="shared" si="1"/>
        <v/>
      </c>
      <c r="FB1" s="6" t="str">
        <f t="shared" si="1"/>
        <v/>
      </c>
      <c r="FC1" s="6" t="str">
        <f t="shared" ref="FC1:GH1" si="2">IF(YEAR(FB$4)&lt;&gt;YEAR(FC$4),FC$4,"")</f>
        <v/>
      </c>
      <c r="FD1" s="6" t="str">
        <f t="shared" si="2"/>
        <v/>
      </c>
      <c r="FE1" s="6" t="str">
        <f t="shared" si="2"/>
        <v/>
      </c>
      <c r="FF1" s="6" t="str">
        <f t="shared" si="2"/>
        <v/>
      </c>
      <c r="FG1" s="6" t="str">
        <f t="shared" si="2"/>
        <v/>
      </c>
      <c r="FH1" s="6" t="str">
        <f t="shared" si="2"/>
        <v/>
      </c>
      <c r="FI1" s="6" t="str">
        <f t="shared" si="2"/>
        <v/>
      </c>
      <c r="FJ1" s="6" t="str">
        <f t="shared" si="2"/>
        <v/>
      </c>
      <c r="FK1" s="6" t="str">
        <f t="shared" si="2"/>
        <v/>
      </c>
      <c r="FL1" s="6" t="str">
        <f t="shared" si="2"/>
        <v/>
      </c>
      <c r="FM1" s="6" t="str">
        <f t="shared" si="2"/>
        <v/>
      </c>
      <c r="FN1" s="6" t="str">
        <f t="shared" si="2"/>
        <v/>
      </c>
      <c r="FO1" s="6" t="str">
        <f t="shared" si="2"/>
        <v/>
      </c>
      <c r="FP1" s="6" t="str">
        <f t="shared" si="2"/>
        <v/>
      </c>
      <c r="FQ1" s="6" t="str">
        <f t="shared" si="2"/>
        <v/>
      </c>
      <c r="FR1" s="6" t="str">
        <f t="shared" si="2"/>
        <v/>
      </c>
      <c r="FS1" s="6" t="str">
        <f t="shared" si="2"/>
        <v/>
      </c>
      <c r="FT1" s="6" t="str">
        <f t="shared" si="2"/>
        <v/>
      </c>
      <c r="FU1" s="6" t="str">
        <f t="shared" si="2"/>
        <v/>
      </c>
      <c r="FV1" s="6" t="str">
        <f t="shared" si="2"/>
        <v/>
      </c>
      <c r="FW1" s="6" t="str">
        <f t="shared" si="2"/>
        <v/>
      </c>
      <c r="FX1" s="6" t="str">
        <f t="shared" si="2"/>
        <v/>
      </c>
      <c r="FY1" s="6" t="str">
        <f t="shared" si="2"/>
        <v/>
      </c>
      <c r="FZ1" s="6" t="str">
        <f t="shared" si="2"/>
        <v/>
      </c>
      <c r="GA1" s="6" t="str">
        <f t="shared" si="2"/>
        <v/>
      </c>
      <c r="GB1" s="6" t="str">
        <f t="shared" si="2"/>
        <v/>
      </c>
      <c r="GC1" s="6" t="str">
        <f t="shared" si="2"/>
        <v/>
      </c>
      <c r="GD1" s="6" t="str">
        <f t="shared" si="2"/>
        <v/>
      </c>
      <c r="GE1" s="6" t="str">
        <f t="shared" si="2"/>
        <v/>
      </c>
      <c r="GF1" s="6" t="str">
        <f t="shared" si="2"/>
        <v/>
      </c>
      <c r="GG1" s="6" t="str">
        <f t="shared" si="2"/>
        <v/>
      </c>
      <c r="GH1" s="6" t="str">
        <f t="shared" si="2"/>
        <v/>
      </c>
      <c r="GI1" s="6" t="str">
        <f t="shared" ref="GI1:GN1" si="3">IF(YEAR(GH$4)&lt;&gt;YEAR(GI$4),GI$4,"")</f>
        <v/>
      </c>
      <c r="GJ1" s="6" t="str">
        <f t="shared" si="3"/>
        <v/>
      </c>
      <c r="GK1" s="6" t="str">
        <f t="shared" si="3"/>
        <v/>
      </c>
      <c r="GL1" s="6" t="str">
        <f t="shared" si="3"/>
        <v/>
      </c>
      <c r="GM1" s="6" t="str">
        <f t="shared" si="3"/>
        <v/>
      </c>
      <c r="GN1" s="6" t="str">
        <f t="shared" si="3"/>
        <v/>
      </c>
      <c r="GO1" s="6" t="str">
        <f t="shared" ref="GO1:HC1" si="4">IF(YEAR(GN$4)&lt;&gt;YEAR(GO$4),GO$4,"")</f>
        <v/>
      </c>
      <c r="GP1" s="6" t="str">
        <f t="shared" si="4"/>
        <v/>
      </c>
      <c r="GQ1" s="6" t="str">
        <f t="shared" si="4"/>
        <v/>
      </c>
      <c r="GR1" s="6" t="str">
        <f t="shared" si="4"/>
        <v/>
      </c>
      <c r="GS1" s="6" t="str">
        <f t="shared" si="4"/>
        <v/>
      </c>
      <c r="GT1" s="6" t="str">
        <f t="shared" si="4"/>
        <v/>
      </c>
      <c r="GU1" s="6" t="str">
        <f t="shared" si="4"/>
        <v/>
      </c>
      <c r="GV1" s="6" t="str">
        <f t="shared" si="4"/>
        <v/>
      </c>
      <c r="GW1" s="6" t="str">
        <f t="shared" si="4"/>
        <v/>
      </c>
      <c r="GX1" s="6" t="str">
        <f t="shared" si="4"/>
        <v/>
      </c>
      <c r="GY1" s="6" t="str">
        <f t="shared" si="4"/>
        <v/>
      </c>
      <c r="GZ1" s="6" t="str">
        <f t="shared" si="4"/>
        <v/>
      </c>
      <c r="HA1" s="6" t="str">
        <f t="shared" si="4"/>
        <v/>
      </c>
      <c r="HB1" s="6" t="str">
        <f t="shared" si="4"/>
        <v/>
      </c>
      <c r="HC1" s="6" t="str">
        <f t="shared" si="4"/>
        <v/>
      </c>
    </row>
    <row r="2" spans="1:211" s="23" customFormat="1" ht="13.5">
      <c r="A2" s="181" t="s">
        <v>11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3"/>
      <c r="T2" s="74"/>
      <c r="U2" s="74"/>
      <c r="V2" s="27"/>
      <c r="W2" s="28">
        <v>41000</v>
      </c>
      <c r="X2" s="161"/>
      <c r="Y2" s="161"/>
      <c r="Z2" s="161"/>
      <c r="AA2" s="161"/>
      <c r="AB2" s="161"/>
      <c r="AC2" s="7" t="s">
        <v>118</v>
      </c>
      <c r="AD2" s="8" t="str">
        <f t="shared" ref="AD2:CP2" si="5">IF(MONTH(AC$4)&lt;&gt;MONTH(AD$4),AD$4,"")</f>
        <v/>
      </c>
      <c r="AE2" s="8" t="str">
        <f t="shared" si="5"/>
        <v/>
      </c>
      <c r="AF2" s="8" t="str">
        <f t="shared" si="5"/>
        <v/>
      </c>
      <c r="AG2" s="8" t="str">
        <f t="shared" si="5"/>
        <v/>
      </c>
      <c r="AH2" s="8" t="str">
        <f t="shared" si="5"/>
        <v/>
      </c>
      <c r="AI2" s="8" t="str">
        <f t="shared" si="5"/>
        <v/>
      </c>
      <c r="AJ2" s="8" t="str">
        <f t="shared" si="5"/>
        <v/>
      </c>
      <c r="AK2" s="8" t="str">
        <f t="shared" si="5"/>
        <v/>
      </c>
      <c r="AL2" s="8" t="str">
        <f t="shared" si="5"/>
        <v/>
      </c>
      <c r="AM2" s="8" t="str">
        <f t="shared" si="5"/>
        <v/>
      </c>
      <c r="AN2" s="8" t="str">
        <f t="shared" si="5"/>
        <v/>
      </c>
      <c r="AO2" s="8" t="str">
        <f t="shared" si="5"/>
        <v/>
      </c>
      <c r="AP2" s="8" t="str">
        <f t="shared" si="5"/>
        <v/>
      </c>
      <c r="AQ2" s="8" t="str">
        <f t="shared" si="5"/>
        <v/>
      </c>
      <c r="AR2" s="8" t="str">
        <f t="shared" si="5"/>
        <v/>
      </c>
      <c r="AS2" s="8" t="str">
        <f t="shared" si="5"/>
        <v/>
      </c>
      <c r="AT2" s="8" t="str">
        <f t="shared" si="5"/>
        <v/>
      </c>
      <c r="AU2" s="8" t="str">
        <f>IF(MONTH(AS$4)&lt;&gt;MONTH(AU$4),AU$4,"")</f>
        <v/>
      </c>
      <c r="AV2" s="8" t="str">
        <f>IF(MONTH(AT$4)&lt;&gt;MONTH(AV$4),AV$4,"")</f>
        <v/>
      </c>
      <c r="AW2" s="8" t="str">
        <f>IF(MONTH(AU$4)&lt;&gt;MONTH(AW$4),AW$4,"")</f>
        <v/>
      </c>
      <c r="AX2" s="8" t="str">
        <f>IF(MONTH(AV$4)&lt;&gt;MONTH(AX$4),AX$4,"")</f>
        <v/>
      </c>
      <c r="AY2" s="8" t="str">
        <f t="shared" si="5"/>
        <v/>
      </c>
      <c r="AZ2" s="8" t="str">
        <f t="shared" si="5"/>
        <v/>
      </c>
      <c r="BA2" s="8" t="str">
        <f t="shared" si="5"/>
        <v/>
      </c>
      <c r="BB2" s="8" t="str">
        <f t="shared" si="5"/>
        <v/>
      </c>
      <c r="BC2" s="8" t="str">
        <f t="shared" si="5"/>
        <v/>
      </c>
      <c r="BD2" s="8" t="str">
        <f t="shared" si="5"/>
        <v/>
      </c>
      <c r="BE2" s="8" t="str">
        <f t="shared" si="5"/>
        <v/>
      </c>
      <c r="BF2" s="8">
        <f t="shared" si="5"/>
        <v>41030</v>
      </c>
      <c r="BG2" s="8" t="str">
        <f t="shared" si="5"/>
        <v/>
      </c>
      <c r="BH2" s="8" t="str">
        <f t="shared" si="5"/>
        <v/>
      </c>
      <c r="BI2" s="8" t="str">
        <f t="shared" si="5"/>
        <v/>
      </c>
      <c r="BJ2" s="8" t="str">
        <f t="shared" si="5"/>
        <v/>
      </c>
      <c r="BK2" s="8" t="str">
        <f t="shared" si="5"/>
        <v/>
      </c>
      <c r="BL2" s="8" t="str">
        <f t="shared" si="5"/>
        <v/>
      </c>
      <c r="BM2" s="8" t="str">
        <f t="shared" si="5"/>
        <v/>
      </c>
      <c r="BN2" s="8" t="str">
        <f t="shared" si="5"/>
        <v/>
      </c>
      <c r="BO2" s="8" t="str">
        <f t="shared" si="5"/>
        <v/>
      </c>
      <c r="BP2" s="8" t="str">
        <f t="shared" si="5"/>
        <v/>
      </c>
      <c r="BQ2" s="8" t="str">
        <f t="shared" si="5"/>
        <v/>
      </c>
      <c r="BR2" s="8" t="str">
        <f t="shared" si="5"/>
        <v/>
      </c>
      <c r="BS2" s="8" t="str">
        <f t="shared" si="5"/>
        <v/>
      </c>
      <c r="BT2" s="8" t="str">
        <f>IF(MONTH(BS$4)&lt;&gt;MONTH(BT$4),BT$4,"")</f>
        <v/>
      </c>
      <c r="BU2" s="8" t="str">
        <f>IF(MONTH(BT$4)&lt;&gt;MONTH(BU$4),BU$4,"")</f>
        <v/>
      </c>
      <c r="BV2" s="8" t="str">
        <f>IF(MONTH(BU$4)&lt;&gt;MONTH(BV$4),BV$4,"")</f>
        <v/>
      </c>
      <c r="BW2" s="8" t="str">
        <f t="shared" si="5"/>
        <v/>
      </c>
      <c r="BX2" s="8" t="str">
        <f t="shared" si="5"/>
        <v/>
      </c>
      <c r="BY2" s="8" t="str">
        <f>IF(MONTH(BX$4)&lt;&gt;MONTH(BY$4),BY$4,"")</f>
        <v/>
      </c>
      <c r="BZ2" s="8" t="str">
        <f t="shared" si="5"/>
        <v/>
      </c>
      <c r="CA2" s="8" t="str">
        <f t="shared" si="5"/>
        <v/>
      </c>
      <c r="CB2" s="8" t="str">
        <f t="shared" si="5"/>
        <v/>
      </c>
      <c r="CC2" s="8">
        <f t="shared" si="5"/>
        <v>41061</v>
      </c>
      <c r="CD2" s="8" t="str">
        <f t="shared" si="5"/>
        <v/>
      </c>
      <c r="CE2" s="8" t="str">
        <f t="shared" si="5"/>
        <v/>
      </c>
      <c r="CF2" s="8" t="str">
        <f t="shared" si="5"/>
        <v/>
      </c>
      <c r="CG2" s="8" t="str">
        <f t="shared" si="5"/>
        <v/>
      </c>
      <c r="CH2" s="8" t="str">
        <f t="shared" si="5"/>
        <v/>
      </c>
      <c r="CI2" s="8" t="str">
        <f t="shared" si="5"/>
        <v/>
      </c>
      <c r="CJ2" s="8" t="str">
        <f t="shared" si="5"/>
        <v/>
      </c>
      <c r="CK2" s="8" t="str">
        <f t="shared" si="5"/>
        <v/>
      </c>
      <c r="CL2" s="8" t="str">
        <f t="shared" si="5"/>
        <v/>
      </c>
      <c r="CM2" s="8" t="str">
        <f t="shared" si="5"/>
        <v/>
      </c>
      <c r="CN2" s="8" t="str">
        <f t="shared" si="5"/>
        <v/>
      </c>
      <c r="CO2" s="8" t="str">
        <f t="shared" si="5"/>
        <v/>
      </c>
      <c r="CP2" s="8" t="str">
        <f t="shared" si="5"/>
        <v/>
      </c>
      <c r="CQ2" s="8" t="str">
        <f t="shared" ref="CQ2:FB2" si="6">IF(MONTH(CP$4)&lt;&gt;MONTH(CQ$4),CQ$4,"")</f>
        <v/>
      </c>
      <c r="CR2" s="8" t="str">
        <f t="shared" si="6"/>
        <v/>
      </c>
      <c r="CS2" s="8" t="str">
        <f t="shared" si="6"/>
        <v/>
      </c>
      <c r="CT2" s="8" t="str">
        <f t="shared" si="6"/>
        <v/>
      </c>
      <c r="CU2" s="8" t="str">
        <f t="shared" si="6"/>
        <v/>
      </c>
      <c r="CV2" s="8" t="str">
        <f t="shared" si="6"/>
        <v/>
      </c>
      <c r="CW2" s="8" t="str">
        <f t="shared" si="6"/>
        <v/>
      </c>
      <c r="CX2" s="8">
        <f t="shared" si="6"/>
        <v>41092</v>
      </c>
      <c r="CY2" s="8" t="str">
        <f t="shared" si="6"/>
        <v/>
      </c>
      <c r="CZ2" s="8" t="str">
        <f t="shared" si="6"/>
        <v/>
      </c>
      <c r="DA2" s="8" t="str">
        <f t="shared" si="6"/>
        <v/>
      </c>
      <c r="DB2" s="8" t="str">
        <f t="shared" si="6"/>
        <v/>
      </c>
      <c r="DC2" s="8" t="str">
        <f t="shared" si="6"/>
        <v/>
      </c>
      <c r="DD2" s="8" t="str">
        <f t="shared" si="6"/>
        <v/>
      </c>
      <c r="DE2" s="8" t="str">
        <f t="shared" si="6"/>
        <v/>
      </c>
      <c r="DF2" s="8" t="str">
        <f t="shared" si="6"/>
        <v/>
      </c>
      <c r="DG2" s="8" t="str">
        <f t="shared" si="6"/>
        <v/>
      </c>
      <c r="DH2" s="8" t="str">
        <f t="shared" si="6"/>
        <v/>
      </c>
      <c r="DI2" s="8" t="str">
        <f t="shared" si="6"/>
        <v/>
      </c>
      <c r="DJ2" s="8" t="str">
        <f t="shared" si="6"/>
        <v/>
      </c>
      <c r="DK2" s="8" t="str">
        <f t="shared" si="6"/>
        <v/>
      </c>
      <c r="DL2" s="8" t="str">
        <f t="shared" si="6"/>
        <v/>
      </c>
      <c r="DM2" s="8" t="str">
        <f t="shared" si="6"/>
        <v/>
      </c>
      <c r="DN2" s="8" t="str">
        <f t="shared" si="6"/>
        <v/>
      </c>
      <c r="DO2" s="8" t="str">
        <f t="shared" si="6"/>
        <v/>
      </c>
      <c r="DP2" s="8" t="str">
        <f t="shared" si="6"/>
        <v/>
      </c>
      <c r="DQ2" s="8" t="str">
        <f t="shared" si="6"/>
        <v/>
      </c>
      <c r="DR2" s="8" t="str">
        <f t="shared" si="6"/>
        <v/>
      </c>
      <c r="DS2" s="8" t="str">
        <f t="shared" si="6"/>
        <v/>
      </c>
      <c r="DT2" s="8">
        <f t="shared" si="6"/>
        <v>41122</v>
      </c>
      <c r="DU2" s="8" t="str">
        <f t="shared" si="6"/>
        <v/>
      </c>
      <c r="DV2" s="8" t="str">
        <f t="shared" si="6"/>
        <v/>
      </c>
      <c r="DW2" s="8" t="str">
        <f t="shared" si="6"/>
        <v/>
      </c>
      <c r="DX2" s="8" t="str">
        <f t="shared" si="6"/>
        <v/>
      </c>
      <c r="DY2" s="8" t="str">
        <f t="shared" si="6"/>
        <v/>
      </c>
      <c r="DZ2" s="8" t="str">
        <f t="shared" si="6"/>
        <v/>
      </c>
      <c r="EA2" s="8" t="str">
        <f t="shared" si="6"/>
        <v/>
      </c>
      <c r="EB2" s="8" t="str">
        <f t="shared" si="6"/>
        <v/>
      </c>
      <c r="EC2" s="8" t="str">
        <f t="shared" si="6"/>
        <v/>
      </c>
      <c r="ED2" s="8" t="str">
        <f t="shared" si="6"/>
        <v/>
      </c>
      <c r="EE2" s="8" t="str">
        <f t="shared" si="6"/>
        <v/>
      </c>
      <c r="EF2" s="8" t="str">
        <f t="shared" si="6"/>
        <v/>
      </c>
      <c r="EG2" s="8" t="str">
        <f t="shared" si="6"/>
        <v/>
      </c>
      <c r="EH2" s="8" t="str">
        <f t="shared" si="6"/>
        <v/>
      </c>
      <c r="EI2" s="8" t="str">
        <f t="shared" si="6"/>
        <v/>
      </c>
      <c r="EJ2" s="8" t="str">
        <f t="shared" si="6"/>
        <v/>
      </c>
      <c r="EK2" s="8" t="str">
        <f t="shared" si="6"/>
        <v/>
      </c>
      <c r="EL2" s="8" t="str">
        <f t="shared" si="6"/>
        <v/>
      </c>
      <c r="EM2" s="8" t="str">
        <f t="shared" si="6"/>
        <v/>
      </c>
      <c r="EN2" s="8" t="str">
        <f t="shared" si="6"/>
        <v/>
      </c>
      <c r="EO2" s="8" t="str">
        <f t="shared" si="6"/>
        <v/>
      </c>
      <c r="EP2" s="8" t="str">
        <f t="shared" si="6"/>
        <v/>
      </c>
      <c r="EQ2" s="8">
        <f t="shared" si="6"/>
        <v>41155</v>
      </c>
      <c r="ER2" s="8" t="str">
        <f t="shared" si="6"/>
        <v/>
      </c>
      <c r="ES2" s="8" t="str">
        <f t="shared" si="6"/>
        <v/>
      </c>
      <c r="ET2" s="8" t="str">
        <f t="shared" si="6"/>
        <v/>
      </c>
      <c r="EU2" s="8" t="str">
        <f t="shared" si="6"/>
        <v/>
      </c>
      <c r="EV2" s="8" t="str">
        <f t="shared" si="6"/>
        <v/>
      </c>
      <c r="EW2" s="8" t="str">
        <f t="shared" si="6"/>
        <v/>
      </c>
      <c r="EX2" s="8" t="str">
        <f t="shared" si="6"/>
        <v/>
      </c>
      <c r="EY2" s="8" t="str">
        <f t="shared" si="6"/>
        <v/>
      </c>
      <c r="EZ2" s="8" t="str">
        <f t="shared" si="6"/>
        <v/>
      </c>
      <c r="FA2" s="8" t="str">
        <f t="shared" si="6"/>
        <v/>
      </c>
      <c r="FB2" s="8" t="str">
        <f t="shared" si="6"/>
        <v/>
      </c>
      <c r="FC2" s="8" t="str">
        <f t="shared" ref="FC2:GH2" si="7">IF(MONTH(FB$4)&lt;&gt;MONTH(FC$4),FC$4,"")</f>
        <v/>
      </c>
      <c r="FD2" s="8" t="str">
        <f t="shared" si="7"/>
        <v/>
      </c>
      <c r="FE2" s="8" t="str">
        <f t="shared" si="7"/>
        <v/>
      </c>
      <c r="FF2" s="8" t="str">
        <f t="shared" si="7"/>
        <v/>
      </c>
      <c r="FG2" s="8" t="str">
        <f t="shared" si="7"/>
        <v/>
      </c>
      <c r="FH2" s="8" t="str">
        <f t="shared" si="7"/>
        <v/>
      </c>
      <c r="FI2" s="8" t="str">
        <f t="shared" si="7"/>
        <v/>
      </c>
      <c r="FJ2" s="8" t="str">
        <f t="shared" si="7"/>
        <v/>
      </c>
      <c r="FK2" s="8">
        <f t="shared" si="7"/>
        <v>41183</v>
      </c>
      <c r="FL2" s="8" t="str">
        <f t="shared" si="7"/>
        <v/>
      </c>
      <c r="FM2" s="8" t="str">
        <f t="shared" si="7"/>
        <v/>
      </c>
      <c r="FN2" s="8" t="str">
        <f t="shared" si="7"/>
        <v/>
      </c>
      <c r="FO2" s="8" t="str">
        <f t="shared" si="7"/>
        <v/>
      </c>
      <c r="FP2" s="8" t="str">
        <f t="shared" si="7"/>
        <v/>
      </c>
      <c r="FQ2" s="8" t="str">
        <f t="shared" si="7"/>
        <v/>
      </c>
      <c r="FR2" s="8" t="str">
        <f t="shared" si="7"/>
        <v/>
      </c>
      <c r="FS2" s="8" t="str">
        <f t="shared" si="7"/>
        <v/>
      </c>
      <c r="FT2" s="8" t="str">
        <f t="shared" si="7"/>
        <v/>
      </c>
      <c r="FU2" s="8" t="str">
        <f t="shared" si="7"/>
        <v/>
      </c>
      <c r="FV2" s="8" t="str">
        <f t="shared" si="7"/>
        <v/>
      </c>
      <c r="FW2" s="8" t="str">
        <f t="shared" si="7"/>
        <v/>
      </c>
      <c r="FX2" s="8" t="str">
        <f t="shared" si="7"/>
        <v/>
      </c>
      <c r="FY2" s="8" t="str">
        <f t="shared" si="7"/>
        <v/>
      </c>
      <c r="FZ2" s="8" t="str">
        <f t="shared" si="7"/>
        <v/>
      </c>
      <c r="GA2" s="8" t="str">
        <f t="shared" si="7"/>
        <v/>
      </c>
      <c r="GB2" s="8" t="str">
        <f t="shared" si="7"/>
        <v/>
      </c>
      <c r="GC2" s="8" t="str">
        <f t="shared" si="7"/>
        <v/>
      </c>
      <c r="GD2" s="8" t="str">
        <f t="shared" si="7"/>
        <v/>
      </c>
      <c r="GE2" s="8" t="str">
        <f t="shared" si="7"/>
        <v/>
      </c>
      <c r="GF2" s="8" t="str">
        <f t="shared" si="7"/>
        <v/>
      </c>
      <c r="GG2" s="8" t="str">
        <f t="shared" si="7"/>
        <v/>
      </c>
      <c r="GH2" s="8">
        <f t="shared" si="7"/>
        <v>41214</v>
      </c>
      <c r="GI2" s="8" t="str">
        <f t="shared" ref="GI2:GN2" si="8">IF(MONTH(GH$4)&lt;&gt;MONTH(GI$4),GI$4,"")</f>
        <v/>
      </c>
      <c r="GJ2" s="8" t="str">
        <f t="shared" si="8"/>
        <v/>
      </c>
      <c r="GK2" s="8" t="str">
        <f t="shared" si="8"/>
        <v/>
      </c>
      <c r="GL2" s="8" t="str">
        <f t="shared" si="8"/>
        <v/>
      </c>
      <c r="GM2" s="8" t="str">
        <f t="shared" si="8"/>
        <v/>
      </c>
      <c r="GN2" s="8" t="str">
        <f t="shared" si="8"/>
        <v/>
      </c>
      <c r="GO2" s="8" t="str">
        <f t="shared" ref="GO2:HC2" si="9">IF(MONTH(GN$4)&lt;&gt;MONTH(GO$4),GO$4,"")</f>
        <v/>
      </c>
      <c r="GP2" s="8" t="str">
        <f t="shared" si="9"/>
        <v/>
      </c>
      <c r="GQ2" s="8" t="str">
        <f t="shared" si="9"/>
        <v/>
      </c>
      <c r="GR2" s="8" t="str">
        <f t="shared" si="9"/>
        <v/>
      </c>
      <c r="GS2" s="8" t="str">
        <f t="shared" si="9"/>
        <v/>
      </c>
      <c r="GT2" s="8" t="str">
        <f t="shared" si="9"/>
        <v/>
      </c>
      <c r="GU2" s="8" t="str">
        <f t="shared" si="9"/>
        <v/>
      </c>
      <c r="GV2" s="8" t="str">
        <f t="shared" si="9"/>
        <v/>
      </c>
      <c r="GW2" s="8" t="str">
        <f t="shared" si="9"/>
        <v/>
      </c>
      <c r="GX2" s="8" t="str">
        <f t="shared" si="9"/>
        <v/>
      </c>
      <c r="GY2" s="8" t="str">
        <f t="shared" si="9"/>
        <v/>
      </c>
      <c r="GZ2" s="8" t="str">
        <f t="shared" si="9"/>
        <v/>
      </c>
      <c r="HA2" s="8" t="str">
        <f t="shared" si="9"/>
        <v/>
      </c>
      <c r="HB2" s="8" t="str">
        <f t="shared" si="9"/>
        <v/>
      </c>
      <c r="HC2" s="8" t="str">
        <f t="shared" si="9"/>
        <v/>
      </c>
    </row>
    <row r="3" spans="1:211" s="11" customFormat="1" ht="13.5" customHeight="1">
      <c r="A3" s="164" t="s">
        <v>42</v>
      </c>
      <c r="B3" s="172" t="s">
        <v>43</v>
      </c>
      <c r="C3" s="173"/>
      <c r="D3" s="173"/>
      <c r="E3" s="173"/>
      <c r="F3" s="174"/>
      <c r="G3" s="150" t="s">
        <v>44</v>
      </c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2"/>
      <c r="T3" s="166" t="s">
        <v>16</v>
      </c>
      <c r="U3" s="167"/>
      <c r="V3" s="167"/>
      <c r="W3" s="168"/>
      <c r="X3" s="169" t="s">
        <v>17</v>
      </c>
      <c r="Y3" s="170"/>
      <c r="Z3" s="170"/>
      <c r="AA3" s="171"/>
      <c r="AB3" s="162" t="s">
        <v>38</v>
      </c>
      <c r="AC3" s="10">
        <v>41001</v>
      </c>
      <c r="AD3" s="11">
        <f>IF(COUNTIF(休日設定!$A$2:$A$398,AC$3+1)&gt;0,IF(COUNTIF(休日設定!$A$2:$A$398,AC$3+2)&gt;0,IF(COUNTIF(休日設定!$A$2:$A$398,AC$3+3)&gt;0,IF(COUNTIF(休日設定!$A$2:$A$398,AC$3+4)&gt;0,IF(COUNTIF(休日設定!$A$2:$A$398,AC$3+5)&gt;0,IF(COUNTIF(休日設定!$A$2:$A$398,AC$3+6)&gt;0,IF(COUNTIF(休日設定!$A$2:$A$398,AC$3+7)&gt;0,AC$3+8,AC$3+7),AC$3+6),AC$3+5),AC$3+4),AC$3+3),AC$3+2),AC$3+1)</f>
        <v>41002</v>
      </c>
      <c r="AE3" s="11">
        <f>IF(COUNTIF(休日設定!$A$2:$A$398,AD$3+1)&gt;0,IF(COUNTIF(休日設定!$A$2:$A$398,AD$3+2)&gt;0,IF(COUNTIF(休日設定!$A$2:$A$398,AD$3+3)&gt;0,IF(COUNTIF(休日設定!$A$2:$A$398,AD$3+4)&gt;0,IF(COUNTIF(休日設定!$A$2:$A$398,AD$3+5)&gt;0,IF(COUNTIF(休日設定!$A$2:$A$398,AD$3+6)&gt;0,IF(COUNTIF(休日設定!$A$2:$A$398,AD$3+7)&gt;0,AD$3+8,AD$3+7),AD$3+6),AD$3+5),AD$3+4),AD$3+3),AD$3+2),AD$3+1)</f>
        <v>41003</v>
      </c>
      <c r="AF3" s="11">
        <f>IF(COUNTIF(休日設定!$A$2:$A$398,AE$3+1)&gt;0,IF(COUNTIF(休日設定!$A$2:$A$398,AE$3+2)&gt;0,IF(COUNTIF(休日設定!$A$2:$A$398,AE$3+3)&gt;0,IF(COUNTIF(休日設定!$A$2:$A$398,AE$3+4)&gt;0,IF(COUNTIF(休日設定!$A$2:$A$398,AE$3+5)&gt;0,IF(COUNTIF(休日設定!$A$2:$A$398,AE$3+6)&gt;0,IF(COUNTIF(休日設定!$A$2:$A$398,AE$3+7)&gt;0,AE$3+8,AE$3+7),AE$3+6),AE$3+5),AE$3+4),AE$3+3),AE$3+2),AE$3+1)</f>
        <v>41004</v>
      </c>
      <c r="AG3" s="11">
        <f>IF(COUNTIF(休日設定!$A$2:$A$398,AF$3+1)&gt;0,IF(COUNTIF(休日設定!$A$2:$A$398,AF$3+2)&gt;0,IF(COUNTIF(休日設定!$A$2:$A$398,AF$3+3)&gt;0,IF(COUNTIF(休日設定!$A$2:$A$398,AF$3+4)&gt;0,IF(COUNTIF(休日設定!$A$2:$A$398,AF$3+5)&gt;0,IF(COUNTIF(休日設定!$A$2:$A$398,AF$3+6)&gt;0,IF(COUNTIF(休日設定!$A$2:$A$398,AF$3+7)&gt;0,AF$3+8,AF$3+7),AF$3+6),AF$3+5),AF$3+4),AF$3+3),AF$3+2),AF$3+1)</f>
        <v>41005</v>
      </c>
      <c r="AH3" s="11">
        <f>IF(COUNTIF(休日設定!$A$2:$A$398,AG$3+1)&gt;0,IF(COUNTIF(休日設定!$A$2:$A$398,AG$3+2)&gt;0,IF(COUNTIF(休日設定!$A$2:$A$398,AG$3+3)&gt;0,IF(COUNTIF(休日設定!$A$2:$A$398,AG$3+4)&gt;0,IF(COUNTIF(休日設定!$A$2:$A$398,AG$3+5)&gt;0,IF(COUNTIF(休日設定!$A$2:$A$398,AG$3+6)&gt;0,IF(COUNTIF(休日設定!$A$2:$A$398,AG$3+7)&gt;0,AG$3+8,AG$3+7),AG$3+6),AG$3+5),AG$3+4),AG$3+3),AG$3+2),AG$3+1)</f>
        <v>41006</v>
      </c>
      <c r="AI3" s="11">
        <f>IF(COUNTIF(休日設定!$A$2:$A$398,AH$3+1)&gt;0,IF(COUNTIF(休日設定!$A$2:$A$398,AH$3+2)&gt;0,IF(COUNTIF(休日設定!$A$2:$A$398,AH$3+3)&gt;0,IF(COUNTIF(休日設定!$A$2:$A$398,AH$3+4)&gt;0,IF(COUNTIF(休日設定!$A$2:$A$398,AH$3+5)&gt;0,IF(COUNTIF(休日設定!$A$2:$A$398,AH$3+6)&gt;0,IF(COUNTIF(休日設定!$A$2:$A$398,AH$3+7)&gt;0,AH$3+8,AH$3+7),AH$3+6),AH$3+5),AH$3+4),AH$3+3),AH$3+2),AH$3+1)</f>
        <v>41007</v>
      </c>
      <c r="AJ3" s="11">
        <f>IF(COUNTIF(休日設定!$A$2:$A$398,AI$3+1)&gt;0,IF(COUNTIF(休日設定!$A$2:$A$398,AI$3+2)&gt;0,IF(COUNTIF(休日設定!$A$2:$A$398,AI$3+3)&gt;0,IF(COUNTIF(休日設定!$A$2:$A$398,AI$3+4)&gt;0,IF(COUNTIF(休日設定!$A$2:$A$398,AI$3+5)&gt;0,IF(COUNTIF(休日設定!$A$2:$A$398,AI$3+6)&gt;0,IF(COUNTIF(休日設定!$A$2:$A$398,AI$3+7)&gt;0,AI$3+8,AI$3+7),AI$3+6),AI$3+5),AI$3+4),AI$3+3),AI$3+2),AI$3+1)</f>
        <v>41008</v>
      </c>
      <c r="AK3" s="11">
        <f>IF(COUNTIF(休日設定!$A$2:$A$398,AJ$3+1)&gt;0,IF(COUNTIF(休日設定!$A$2:$A$398,AJ$3+2)&gt;0,IF(COUNTIF(休日設定!$A$2:$A$398,AJ$3+3)&gt;0,IF(COUNTIF(休日設定!$A$2:$A$398,AJ$3+4)&gt;0,IF(COUNTIF(休日設定!$A$2:$A$398,AJ$3+5)&gt;0,IF(COUNTIF(休日設定!$A$2:$A$398,AJ$3+6)&gt;0,IF(COUNTIF(休日設定!$A$2:$A$398,AJ$3+7)&gt;0,AJ$3+8,AJ$3+7),AJ$3+6),AJ$3+5),AJ$3+4),AJ$3+3),AJ$3+2),AJ$3+1)</f>
        <v>41009</v>
      </c>
      <c r="AL3" s="11">
        <f>IF(COUNTIF(休日設定!$A$2:$A$398,AK$3+1)&gt;0,IF(COUNTIF(休日設定!$A$2:$A$398,AK$3+2)&gt;0,IF(COUNTIF(休日設定!$A$2:$A$398,AK$3+3)&gt;0,IF(COUNTIF(休日設定!$A$2:$A$398,AK$3+4)&gt;0,IF(COUNTIF(休日設定!$A$2:$A$398,AK$3+5)&gt;0,IF(COUNTIF(休日設定!$A$2:$A$398,AK$3+6)&gt;0,IF(COUNTIF(休日設定!$A$2:$A$398,AK$3+7)&gt;0,AK$3+8,AK$3+7),AK$3+6),AK$3+5),AK$3+4),AK$3+3),AK$3+2),AK$3+1)</f>
        <v>41010</v>
      </c>
      <c r="AM3" s="11">
        <f>IF(COUNTIF(休日設定!$A$2:$A$398,AL$3+1)&gt;0,IF(COUNTIF(休日設定!$A$2:$A$398,AL$3+2)&gt;0,IF(COUNTIF(休日設定!$A$2:$A$398,AL$3+3)&gt;0,IF(COUNTIF(休日設定!$A$2:$A$398,AL$3+4)&gt;0,IF(COUNTIF(休日設定!$A$2:$A$398,AL$3+5)&gt;0,IF(COUNTIF(休日設定!$A$2:$A$398,AL$3+6)&gt;0,IF(COUNTIF(休日設定!$A$2:$A$398,AL$3+7)&gt;0,AL$3+8,AL$3+7),AL$3+6),AL$3+5),AL$3+4),AL$3+3),AL$3+2),AL$3+1)</f>
        <v>41011</v>
      </c>
      <c r="AN3" s="11">
        <f>IF(COUNTIF(休日設定!$A$2:$A$398,AM$3+1)&gt;0,IF(COUNTIF(休日設定!$A$2:$A$398,AM$3+2)&gt;0,IF(COUNTIF(休日設定!$A$2:$A$398,AM$3+3)&gt;0,IF(COUNTIF(休日設定!$A$2:$A$398,AM$3+4)&gt;0,IF(COUNTIF(休日設定!$A$2:$A$398,AM$3+5)&gt;0,IF(COUNTIF(休日設定!$A$2:$A$398,AM$3+6)&gt;0,IF(COUNTIF(休日設定!$A$2:$A$398,AM$3+7)&gt;0,AM$3+8,AM$3+7),AM$3+6),AM$3+5),AM$3+4),AM$3+3),AM$3+2),AM$3+1)</f>
        <v>41012</v>
      </c>
      <c r="AO3" s="11">
        <f>IF(COUNTIF(休日設定!$A$2:$A$398,AN$3+1)&gt;0,IF(COUNTIF(休日設定!$A$2:$A$398,AN$3+2)&gt;0,IF(COUNTIF(休日設定!$A$2:$A$398,AN$3+3)&gt;0,IF(COUNTIF(休日設定!$A$2:$A$398,AN$3+4)&gt;0,IF(COUNTIF(休日設定!$A$2:$A$398,AN$3+5)&gt;0,IF(COUNTIF(休日設定!$A$2:$A$398,AN$3+6)&gt;0,IF(COUNTIF(休日設定!$A$2:$A$398,AN$3+7)&gt;0,AN$3+8,AN$3+7),AN$3+6),AN$3+5),AN$3+4),AN$3+3),AN$3+2),AN$3+1)</f>
        <v>41013</v>
      </c>
      <c r="AP3" s="11">
        <f>IF(COUNTIF(休日設定!$A$2:$A$398,AO$3+1)&gt;0,IF(COUNTIF(休日設定!$A$2:$A$398,AO$3+2)&gt;0,IF(COUNTIF(休日設定!$A$2:$A$398,AO$3+3)&gt;0,IF(COUNTIF(休日設定!$A$2:$A$398,AO$3+4)&gt;0,IF(COUNTIF(休日設定!$A$2:$A$398,AO$3+5)&gt;0,IF(COUNTIF(休日設定!$A$2:$A$398,AO$3+6)&gt;0,IF(COUNTIF(休日設定!$A$2:$A$398,AO$3+7)&gt;0,AO$3+8,AO$3+7),AO$3+6),AO$3+5),AO$3+4),AO$3+3),AO$3+2),AO$3+1)</f>
        <v>41014</v>
      </c>
      <c r="AQ3" s="11">
        <f>IF(COUNTIF(休日設定!$A$2:$A$398,AP$3+1)&gt;0,IF(COUNTIF(休日設定!$A$2:$A$398,AP$3+2)&gt;0,IF(COUNTIF(休日設定!$A$2:$A$398,AP$3+3)&gt;0,IF(COUNTIF(休日設定!$A$2:$A$398,AP$3+4)&gt;0,IF(COUNTIF(休日設定!$A$2:$A$398,AP$3+5)&gt;0,IF(COUNTIF(休日設定!$A$2:$A$398,AP$3+6)&gt;0,IF(COUNTIF(休日設定!$A$2:$A$398,AP$3+7)&gt;0,AP$3+8,AP$3+7),AP$3+6),AP$3+5),AP$3+4),AP$3+3),AP$3+2),AP$3+1)</f>
        <v>41015</v>
      </c>
      <c r="AR3" s="11">
        <f>IF(COUNTIF(休日設定!$A$2:$A$398,AQ$3+1)&gt;0,IF(COUNTIF(休日設定!$A$2:$A$398,AQ$3+2)&gt;0,IF(COUNTIF(休日設定!$A$2:$A$398,AQ$3+3)&gt;0,IF(COUNTIF(休日設定!$A$2:$A$398,AQ$3+4)&gt;0,IF(COUNTIF(休日設定!$A$2:$A$398,AQ$3+5)&gt;0,IF(COUNTIF(休日設定!$A$2:$A$398,AQ$3+6)&gt;0,IF(COUNTIF(休日設定!$A$2:$A$398,AQ$3+7)&gt;0,AQ$3+8,AQ$3+7),AQ$3+6),AQ$3+5),AQ$3+4),AQ$3+3),AQ$3+2),AQ$3+1)</f>
        <v>41016</v>
      </c>
      <c r="AS3" s="11">
        <f>IF(COUNTIF(休日設定!$A$2:$A$398,AR$3+1)&gt;0,IF(COUNTIF(休日設定!$A$2:$A$398,AR$3+2)&gt;0,IF(COUNTIF(休日設定!$A$2:$A$398,AR$3+3)&gt;0,IF(COUNTIF(休日設定!$A$2:$A$398,AR$3+4)&gt;0,IF(COUNTIF(休日設定!$A$2:$A$398,AR$3+5)&gt;0,IF(COUNTIF(休日設定!$A$2:$A$398,AR$3+6)&gt;0,IF(COUNTIF(休日設定!$A$2:$A$398,AR$3+7)&gt;0,AR$3+8,AR$3+7),AR$3+6),AR$3+5),AR$3+4),AR$3+3),AR$3+2),AR$3+1)</f>
        <v>41017</v>
      </c>
      <c r="AT3" s="11">
        <f>IF(COUNTIF(休日設定!$A$2:$A$398,AS$3+1)&gt;0,IF(COUNTIF(休日設定!$A$2:$A$398,AS$3+2)&gt;0,IF(COUNTIF(休日設定!$A$2:$A$398,AS$3+3)&gt;0,IF(COUNTIF(休日設定!$A$2:$A$398,AS$3+4)&gt;0,IF(COUNTIF(休日設定!$A$2:$A$398,AS$3+5)&gt;0,IF(COUNTIF(休日設定!$A$2:$A$398,AS$3+6)&gt;0,IF(COUNTIF(休日設定!$A$2:$A$398,AS$3+7)&gt;0,AS$3+8,AS$3+7),AS$3+6),AS$3+5),AS$3+4),AS$3+3),AS$3+2),AS$3+1)</f>
        <v>41018</v>
      </c>
      <c r="AU3" s="11">
        <f>IF(COUNTIF(休日設定!$A$2:$A$398,AT$3+1)&gt;0,IF(COUNTIF(休日設定!$A$2:$A$398,AT$3+2)&gt;0,IF(COUNTIF(休日設定!$A$2:$A$398,AT$3+3)&gt;0,IF(COUNTIF(休日設定!$A$2:$A$398,AT$3+4)&gt;0,IF(COUNTIF(休日設定!$A$2:$A$398,AT$3+5)&gt;0,IF(COUNTIF(休日設定!$A$2:$A$398,AT$3+6)&gt;0,IF(COUNTIF(休日設定!$A$2:$A$398,AT$3+7)&gt;0,AT$3+8,AT$3+7),AT$3+6),AT$3+5),AT$3+4),AT$3+3),AT$3+2),AT$3+1)</f>
        <v>41019</v>
      </c>
      <c r="AV3" s="11">
        <f>IF(COUNTIF(休日設定!$A$2:$A$398,AU$3+1)&gt;0,IF(COUNTIF(休日設定!$A$2:$A$398,AU$3+2)&gt;0,IF(COUNTIF(休日設定!$A$2:$A$398,AU$3+3)&gt;0,IF(COUNTIF(休日設定!$A$2:$A$398,AU$3+4)&gt;0,IF(COUNTIF(休日設定!$A$2:$A$398,AU$3+5)&gt;0,IF(COUNTIF(休日設定!$A$2:$A$398,AU$3+6)&gt;0,IF(COUNTIF(休日設定!$A$2:$A$398,AU$3+7)&gt;0,AU$3+8,AU$3+7),AU$3+6),AU$3+5),AU$3+4),AU$3+3),AU$3+2),AU$3+1)</f>
        <v>41020</v>
      </c>
      <c r="AW3" s="11">
        <f>IF(COUNTIF(休日設定!$A$2:$A$398,AV$3+1)&gt;0,IF(COUNTIF(休日設定!$A$2:$A$398,AV$3+2)&gt;0,IF(COUNTIF(休日設定!$A$2:$A$398,AV$3+3)&gt;0,IF(COUNTIF(休日設定!$A$2:$A$398,AV$3+4)&gt;0,IF(COUNTIF(休日設定!$A$2:$A$398,AV$3+5)&gt;0,IF(COUNTIF(休日設定!$A$2:$A$398,AV$3+6)&gt;0,IF(COUNTIF(休日設定!$A$2:$A$398,AV$3+7)&gt;0,AV$3+8,AV$3+7),AV$3+6),AV$3+5),AV$3+4),AV$3+3),AV$3+2),AV$3+1)</f>
        <v>41021</v>
      </c>
      <c r="AX3" s="11">
        <f>IF(COUNTIF(休日設定!$A$2:$A$398,AW$3+1)&gt;0,IF(COUNTIF(休日設定!$A$2:$A$398,AW$3+2)&gt;0,IF(COUNTIF(休日設定!$A$2:$A$398,AW$3+3)&gt;0,IF(COUNTIF(休日設定!$A$2:$A$398,AW$3+4)&gt;0,IF(COUNTIF(休日設定!$A$2:$A$398,AW$3+5)&gt;0,IF(COUNTIF(休日設定!$A$2:$A$398,AW$3+6)&gt;0,IF(COUNTIF(休日設定!$A$2:$A$398,AW$3+7)&gt;0,AW$3+8,AW$3+7),AW$3+6),AW$3+5),AW$3+4),AW$3+3),AW$3+2),AW$3+1)</f>
        <v>41022</v>
      </c>
      <c r="AY3" s="11">
        <f>IF(COUNTIF(休日設定!$A$2:$A$398,AX$3+1)&gt;0,IF(COUNTIF(休日設定!$A$2:$A$398,AX$3+2)&gt;0,IF(COUNTIF(休日設定!$A$2:$A$398,AX$3+3)&gt;0,IF(COUNTIF(休日設定!$A$2:$A$398,AX$3+4)&gt;0,IF(COUNTIF(休日設定!$A$2:$A$398,AX$3+5)&gt;0,IF(COUNTIF(休日設定!$A$2:$A$398,AX$3+6)&gt;0,IF(COUNTIF(休日設定!$A$2:$A$398,AX$3+7)&gt;0,AX$3+8,AX$3+7),AX$3+6),AX$3+5),AX$3+4),AX$3+3),AX$3+2),AX$3+1)</f>
        <v>41023</v>
      </c>
      <c r="AZ3" s="11">
        <f>IF(COUNTIF(休日設定!$A$2:$A$398,AY$3+1)&gt;0,IF(COUNTIF(休日設定!$A$2:$A$398,AY$3+2)&gt;0,IF(COUNTIF(休日設定!$A$2:$A$398,AY$3+3)&gt;0,IF(COUNTIF(休日設定!$A$2:$A$398,AY$3+4)&gt;0,IF(COUNTIF(休日設定!$A$2:$A$398,AY$3+5)&gt;0,IF(COUNTIF(休日設定!$A$2:$A$398,AY$3+6)&gt;0,IF(COUNTIF(休日設定!$A$2:$A$398,AY$3+7)&gt;0,AY$3+8,AY$3+7),AY$3+6),AY$3+5),AY$3+4),AY$3+3),AY$3+2),AY$3+1)</f>
        <v>41024</v>
      </c>
      <c r="BA3" s="11">
        <f>IF(COUNTIF(休日設定!$A$2:$A$398,AZ$3+1)&gt;0,IF(COUNTIF(休日設定!$A$2:$A$398,AZ$3+2)&gt;0,IF(COUNTIF(休日設定!$A$2:$A$398,AZ$3+3)&gt;0,IF(COUNTIF(休日設定!$A$2:$A$398,AZ$3+4)&gt;0,IF(COUNTIF(休日設定!$A$2:$A$398,AZ$3+5)&gt;0,IF(COUNTIF(休日設定!$A$2:$A$398,AZ$3+6)&gt;0,IF(COUNTIF(休日設定!$A$2:$A$398,AZ$3+7)&gt;0,AZ$3+8,AZ$3+7),AZ$3+6),AZ$3+5),AZ$3+4),AZ$3+3),AZ$3+2),AZ$3+1)</f>
        <v>41025</v>
      </c>
      <c r="BB3" s="11">
        <f>IF(COUNTIF(休日設定!$A$2:$A$398,BA$3+1)&gt;0,IF(COUNTIF(休日設定!$A$2:$A$398,BA$3+2)&gt;0,IF(COUNTIF(休日設定!$A$2:$A$398,BA$3+3)&gt;0,IF(COUNTIF(休日設定!$A$2:$A$398,BA$3+4)&gt;0,IF(COUNTIF(休日設定!$A$2:$A$398,BA$3+5)&gt;0,IF(COUNTIF(休日設定!$A$2:$A$398,BA$3+6)&gt;0,IF(COUNTIF(休日設定!$A$2:$A$398,BA$3+7)&gt;0,BA$3+8,BA$3+7),BA$3+6),BA$3+5),BA$3+4),BA$3+3),BA$3+2),BA$3+1)</f>
        <v>41026</v>
      </c>
      <c r="BC3" s="11">
        <f>IF(COUNTIF(休日設定!$A$2:$A$398,BB$3+1)&gt;0,IF(COUNTIF(休日設定!$A$2:$A$398,BB$3+2)&gt;0,IF(COUNTIF(休日設定!$A$2:$A$398,BB$3+3)&gt;0,IF(COUNTIF(休日設定!$A$2:$A$398,BB$3+4)&gt;0,IF(COUNTIF(休日設定!$A$2:$A$398,BB$3+5)&gt;0,IF(COUNTIF(休日設定!$A$2:$A$398,BB$3+6)&gt;0,IF(COUNTIF(休日設定!$A$2:$A$398,BB$3+7)&gt;0,BB$3+8,BB$3+7),BB$3+6),BB$3+5),BB$3+4),BB$3+3),BB$3+2),BB$3+1)</f>
        <v>41027</v>
      </c>
      <c r="BD3" s="11">
        <f>IF(COUNTIF(休日設定!$A$2:$A$398,BC$3+1)&gt;0,IF(COUNTIF(休日設定!$A$2:$A$398,BC$3+2)&gt;0,IF(COUNTIF(休日設定!$A$2:$A$398,BC$3+3)&gt;0,IF(COUNTIF(休日設定!$A$2:$A$398,BC$3+4)&gt;0,IF(COUNTIF(休日設定!$A$2:$A$398,BC$3+5)&gt;0,IF(COUNTIF(休日設定!$A$2:$A$398,BC$3+6)&gt;0,IF(COUNTIF(休日設定!$A$2:$A$398,BC$3+7)&gt;0,BC$3+8,BC$3+7),BC$3+6),BC$3+5),BC$3+4),BC$3+3),BC$3+2),BC$3+1)</f>
        <v>41028</v>
      </c>
      <c r="BE3" s="11">
        <f>IF(COUNTIF(休日設定!$A$2:$A$398,BD$3+1)&gt;0,IF(COUNTIF(休日設定!$A$2:$A$398,BD$3+2)&gt;0,IF(COUNTIF(休日設定!$A$2:$A$398,BD$3+3)&gt;0,IF(COUNTIF(休日設定!$A$2:$A$398,BD$3+4)&gt;0,IF(COUNTIF(休日設定!$A$2:$A$398,BD$3+5)&gt;0,IF(COUNTIF(休日設定!$A$2:$A$398,BD$3+6)&gt;0,IF(COUNTIF(休日設定!$A$2:$A$398,BD$3+7)&gt;0,BD$3+8,BD$3+7),BD$3+6),BD$3+5),BD$3+4),BD$3+3),BD$3+2),BD$3+1)</f>
        <v>41029</v>
      </c>
      <c r="BF3" s="11">
        <f>IF(COUNTIF(休日設定!$A$2:$A$398,BE$3+1)&gt;0,IF(COUNTIF(休日設定!$A$2:$A$398,BE$3+2)&gt;0,IF(COUNTIF(休日設定!$A$2:$A$398,BE$3+3)&gt;0,IF(COUNTIF(休日設定!$A$2:$A$398,BE$3+4)&gt;0,IF(COUNTIF(休日設定!$A$2:$A$398,BE$3+5)&gt;0,IF(COUNTIF(休日設定!$A$2:$A$398,BE$3+6)&gt;0,IF(COUNTIF(休日設定!$A$2:$A$398,BE$3+7)&gt;0,BE$3+8,BE$3+7),BE$3+6),BE$3+5),BE$3+4),BE$3+3),BE$3+2),BE$3+1)</f>
        <v>41030</v>
      </c>
      <c r="BG3" s="11">
        <f>IF(COUNTIF(休日設定!$A$2:$A$398,BF$3+1)&gt;0,IF(COUNTIF(休日設定!$A$2:$A$398,BF$3+2)&gt;0,IF(COUNTIF(休日設定!$A$2:$A$398,BF$3+3)&gt;0,IF(COUNTIF(休日設定!$A$2:$A$398,BF$3+4)&gt;0,IF(COUNTIF(休日設定!$A$2:$A$398,BF$3+5)&gt;0,IF(COUNTIF(休日設定!$A$2:$A$398,BF$3+6)&gt;0,IF(COUNTIF(休日設定!$A$2:$A$398,BF$3+7)&gt;0,BF$3+8,BF$3+7),BF$3+6),BF$3+5),BF$3+4),BF$3+3),BF$3+2),BF$3+1)</f>
        <v>41031</v>
      </c>
      <c r="BH3" s="11">
        <f>IF(COUNTIF(休日設定!$A$2:$A$398,BG$3+1)&gt;0,IF(COUNTIF(休日設定!$A$2:$A$398,BG$3+2)&gt;0,IF(COUNTIF(休日設定!$A$2:$A$398,BG$3+3)&gt;0,IF(COUNTIF(休日設定!$A$2:$A$398,BG$3+4)&gt;0,IF(COUNTIF(休日設定!$A$2:$A$398,BG$3+5)&gt;0,IF(COUNTIF(休日設定!$A$2:$A$398,BG$3+6)&gt;0,IF(COUNTIF(休日設定!$A$2:$A$398,BG$3+7)&gt;0,BG$3+8,BG$3+7),BG$3+6),BG$3+5),BG$3+4),BG$3+3),BG$3+2),BG$3+1)</f>
        <v>41032</v>
      </c>
      <c r="BI3" s="11">
        <f>IF(COUNTIF(休日設定!$A$2:$A$398,BH$3+1)&gt;0,IF(COUNTIF(休日設定!$A$2:$A$398,BH$3+2)&gt;0,IF(COUNTIF(休日設定!$A$2:$A$398,BH$3+3)&gt;0,IF(COUNTIF(休日設定!$A$2:$A$398,BH$3+4)&gt;0,IF(COUNTIF(休日設定!$A$2:$A$398,BH$3+5)&gt;0,IF(COUNTIF(休日設定!$A$2:$A$398,BH$3+6)&gt;0,IF(COUNTIF(休日設定!$A$2:$A$398,BH$3+7)&gt;0,BH$3+8,BH$3+7),BH$3+6),BH$3+5),BH$3+4),BH$3+3),BH$3+2),BH$3+1)</f>
        <v>41033</v>
      </c>
      <c r="BJ3" s="11">
        <f>IF(COUNTIF(休日設定!$A$2:$A$398,BI$3+1)&gt;0,IF(COUNTIF(休日設定!$A$2:$A$398,BI$3+2)&gt;0,IF(COUNTIF(休日設定!$A$2:$A$398,BI$3+3)&gt;0,IF(COUNTIF(休日設定!$A$2:$A$398,BI$3+4)&gt;0,IF(COUNTIF(休日設定!$A$2:$A$398,BI$3+5)&gt;0,IF(COUNTIF(休日設定!$A$2:$A$398,BI$3+6)&gt;0,IF(COUNTIF(休日設定!$A$2:$A$398,BI$3+7)&gt;0,BI$3+8,BI$3+7),BI$3+6),BI$3+5),BI$3+4),BI$3+3),BI$3+2),BI$3+1)</f>
        <v>41036</v>
      </c>
      <c r="BK3" s="11">
        <f>IF(COUNTIF(休日設定!$A$2:$A$398,BJ$3+1)&gt;0,IF(COUNTIF(休日設定!$A$2:$A$398,BJ$3+2)&gt;0,IF(COUNTIF(休日設定!$A$2:$A$398,BJ$3+3)&gt;0,IF(COUNTIF(休日設定!$A$2:$A$398,BJ$3+4)&gt;0,IF(COUNTIF(休日設定!$A$2:$A$398,BJ$3+5)&gt;0,IF(COUNTIF(休日設定!$A$2:$A$398,BJ$3+6)&gt;0,IF(COUNTIF(休日設定!$A$2:$A$398,BJ$3+7)&gt;0,BJ$3+8,BJ$3+7),BJ$3+6),BJ$3+5),BJ$3+4),BJ$3+3),BJ$3+2),BJ$3+1)</f>
        <v>41037</v>
      </c>
      <c r="BL3" s="11">
        <f>IF(COUNTIF(休日設定!$A$2:$A$398,BK$3+1)&gt;0,IF(COUNTIF(休日設定!$A$2:$A$398,BK$3+2)&gt;0,IF(COUNTIF(休日設定!$A$2:$A$398,BK$3+3)&gt;0,IF(COUNTIF(休日設定!$A$2:$A$398,BK$3+4)&gt;0,IF(COUNTIF(休日設定!$A$2:$A$398,BK$3+5)&gt;0,IF(COUNTIF(休日設定!$A$2:$A$398,BK$3+6)&gt;0,IF(COUNTIF(休日設定!$A$2:$A$398,BK$3+7)&gt;0,BK$3+8,BK$3+7),BK$3+6),BK$3+5),BK$3+4),BK$3+3),BK$3+2),BK$3+1)</f>
        <v>41038</v>
      </c>
      <c r="BM3" s="11">
        <f>IF(COUNTIF(休日設定!$A$2:$A$398,BL$3+1)&gt;0,IF(COUNTIF(休日設定!$A$2:$A$398,BL$3+2)&gt;0,IF(COUNTIF(休日設定!$A$2:$A$398,BL$3+3)&gt;0,IF(COUNTIF(休日設定!$A$2:$A$398,BL$3+4)&gt;0,IF(COUNTIF(休日設定!$A$2:$A$398,BL$3+5)&gt;0,IF(COUNTIF(休日設定!$A$2:$A$398,BL$3+6)&gt;0,IF(COUNTIF(休日設定!$A$2:$A$398,BL$3+7)&gt;0,BL$3+8,BL$3+7),BL$3+6),BL$3+5),BL$3+4),BL$3+3),BL$3+2),BL$3+1)</f>
        <v>41039</v>
      </c>
      <c r="BN3" s="11">
        <f>IF(COUNTIF(休日設定!$A$2:$A$398,BM$3+1)&gt;0,IF(COUNTIF(休日設定!$A$2:$A$398,BM$3+2)&gt;0,IF(COUNTIF(休日設定!$A$2:$A$398,BM$3+3)&gt;0,IF(COUNTIF(休日設定!$A$2:$A$398,BM$3+4)&gt;0,IF(COUNTIF(休日設定!$A$2:$A$398,BM$3+5)&gt;0,IF(COUNTIF(休日設定!$A$2:$A$398,BM$3+6)&gt;0,IF(COUNTIF(休日設定!$A$2:$A$398,BM$3+7)&gt;0,BM$3+8,BM$3+7),BM$3+6),BM$3+5),BM$3+4),BM$3+3),BM$3+2),BM$3+1)</f>
        <v>41040</v>
      </c>
      <c r="BO3" s="11">
        <f>IF(COUNTIF(休日設定!$A$2:$A$398,BN$3+1)&gt;0,IF(COUNTIF(休日設定!$A$2:$A$398,BN$3+2)&gt;0,IF(COUNTIF(休日設定!$A$2:$A$398,BN$3+3)&gt;0,IF(COUNTIF(休日設定!$A$2:$A$398,BN$3+4)&gt;0,IF(COUNTIF(休日設定!$A$2:$A$398,BN$3+5)&gt;0,IF(COUNTIF(休日設定!$A$2:$A$398,BN$3+6)&gt;0,IF(COUNTIF(休日設定!$A$2:$A$398,BN$3+7)&gt;0,BN$3+8,BN$3+7),BN$3+6),BN$3+5),BN$3+4),BN$3+3),BN$3+2),BN$3+1)</f>
        <v>41043</v>
      </c>
      <c r="BP3" s="11">
        <f>IF(COUNTIF(休日設定!$A$2:$A$398,BO$3+1)&gt;0,IF(COUNTIF(休日設定!$A$2:$A$398,BO$3+2)&gt;0,IF(COUNTIF(休日設定!$A$2:$A$398,BO$3+3)&gt;0,IF(COUNTIF(休日設定!$A$2:$A$398,BO$3+4)&gt;0,IF(COUNTIF(休日設定!$A$2:$A$398,BO$3+5)&gt;0,IF(COUNTIF(休日設定!$A$2:$A$398,BO$3+6)&gt;0,IF(COUNTIF(休日設定!$A$2:$A$398,BO$3+7)&gt;0,BO$3+8,BO$3+7),BO$3+6),BO$3+5),BO$3+4),BO$3+3),BO$3+2),BO$3+1)</f>
        <v>41044</v>
      </c>
      <c r="BQ3" s="11">
        <f>IF(COUNTIF(休日設定!$A$2:$A$398,BP$3+1)&gt;0,IF(COUNTIF(休日設定!$A$2:$A$398,BP$3+2)&gt;0,IF(COUNTIF(休日設定!$A$2:$A$398,BP$3+3)&gt;0,IF(COUNTIF(休日設定!$A$2:$A$398,BP$3+4)&gt;0,IF(COUNTIF(休日設定!$A$2:$A$398,BP$3+5)&gt;0,IF(COUNTIF(休日設定!$A$2:$A$398,BP$3+6)&gt;0,IF(COUNTIF(休日設定!$A$2:$A$398,BP$3+7)&gt;0,BP$3+8,BP$3+7),BP$3+6),BP$3+5),BP$3+4),BP$3+3),BP$3+2),BP$3+1)</f>
        <v>41045</v>
      </c>
      <c r="BR3" s="11">
        <f>IF(COUNTIF(休日設定!$A$2:$A$398,BQ$3+1)&gt;0,IF(COUNTIF(休日設定!$A$2:$A$398,BQ$3+2)&gt;0,IF(COUNTIF(休日設定!$A$2:$A$398,BQ$3+3)&gt;0,IF(COUNTIF(休日設定!$A$2:$A$398,BQ$3+4)&gt;0,IF(COUNTIF(休日設定!$A$2:$A$398,BQ$3+5)&gt;0,IF(COUNTIF(休日設定!$A$2:$A$398,BQ$3+6)&gt;0,IF(COUNTIF(休日設定!$A$2:$A$398,BQ$3+7)&gt;0,BQ$3+8,BQ$3+7),BQ$3+6),BQ$3+5),BQ$3+4),BQ$3+3),BQ$3+2),BQ$3+1)</f>
        <v>41046</v>
      </c>
      <c r="BS3" s="11">
        <f>IF(COUNTIF(休日設定!$A$2:$A$398,BR$3+1)&gt;0,IF(COUNTIF(休日設定!$A$2:$A$398,BR$3+2)&gt;0,IF(COUNTIF(休日設定!$A$2:$A$398,BR$3+3)&gt;0,IF(COUNTIF(休日設定!$A$2:$A$398,BR$3+4)&gt;0,IF(COUNTIF(休日設定!$A$2:$A$398,BR$3+5)&gt;0,IF(COUNTIF(休日設定!$A$2:$A$398,BR$3+6)&gt;0,IF(COUNTIF(休日設定!$A$2:$A$398,BR$3+7)&gt;0,BR$3+8,BR$3+7),BR$3+6),BR$3+5),BR$3+4),BR$3+3),BR$3+2),BR$3+1)</f>
        <v>41047</v>
      </c>
      <c r="BT3" s="11">
        <f>IF(COUNTIF(休日設定!$A$2:$A$398,BS$3+1)&gt;0,IF(COUNTIF(休日設定!$A$2:$A$398,BS$3+2)&gt;0,IF(COUNTIF(休日設定!$A$2:$A$398,BS$3+3)&gt;0,IF(COUNTIF(休日設定!$A$2:$A$398,BS$3+4)&gt;0,IF(COUNTIF(休日設定!$A$2:$A$398,BS$3+5)&gt;0,IF(COUNTIF(休日設定!$A$2:$A$398,BS$3+6)&gt;0,IF(COUNTIF(休日設定!$A$2:$A$398,BS$3+7)&gt;0,BS$3+8,BS$3+7),BS$3+6),BS$3+5),BS$3+4),BS$3+3),BS$3+2),BS$3+1)</f>
        <v>41050</v>
      </c>
      <c r="BU3" s="11">
        <f>IF(COUNTIF(休日設定!$A$2:$A$398,BT$3+1)&gt;0,IF(COUNTIF(休日設定!$A$2:$A$398,BT$3+2)&gt;0,IF(COUNTIF(休日設定!$A$2:$A$398,BT$3+3)&gt;0,IF(COUNTIF(休日設定!$A$2:$A$398,BT$3+4)&gt;0,IF(COUNTIF(休日設定!$A$2:$A$398,BT$3+5)&gt;0,IF(COUNTIF(休日設定!$A$2:$A$398,BT$3+6)&gt;0,IF(COUNTIF(休日設定!$A$2:$A$398,BT$3+7)&gt;0,BT$3+8,BT$3+7),BT$3+6),BT$3+5),BT$3+4),BT$3+3),BT$3+2),BT$3+1)</f>
        <v>41051</v>
      </c>
      <c r="BV3" s="11">
        <f>IF(COUNTIF(休日設定!$A$2:$A$398,BU$3+1)&gt;0,IF(COUNTIF(休日設定!$A$2:$A$398,BU$3+2)&gt;0,IF(COUNTIF(休日設定!$A$2:$A$398,BU$3+3)&gt;0,IF(COUNTIF(休日設定!$A$2:$A$398,BU$3+4)&gt;0,IF(COUNTIF(休日設定!$A$2:$A$398,BU$3+5)&gt;0,IF(COUNTIF(休日設定!$A$2:$A$398,BU$3+6)&gt;0,IF(COUNTIF(休日設定!$A$2:$A$398,BU$3+7)&gt;0,BU$3+8,BU$3+7),BU$3+6),BU$3+5),BU$3+4),BU$3+3),BU$3+2),BU$3+1)</f>
        <v>41052</v>
      </c>
      <c r="BW3" s="11">
        <f>IF(COUNTIF(休日設定!$A$2:$A$398,BV$3+1)&gt;0,IF(COUNTIF(休日設定!$A$2:$A$398,BV$3+2)&gt;0,IF(COUNTIF(休日設定!$A$2:$A$398,BV$3+3)&gt;0,IF(COUNTIF(休日設定!$A$2:$A$398,BV$3+4)&gt;0,IF(COUNTIF(休日設定!$A$2:$A$398,BV$3+5)&gt;0,IF(COUNTIF(休日設定!$A$2:$A$398,BV$3+6)&gt;0,IF(COUNTIF(休日設定!$A$2:$A$398,BV$3+7)&gt;0,BV$3+8,BV$3+7),BV$3+6),BV$3+5),BV$3+4),BV$3+3),BV$3+2),BV$3+1)</f>
        <v>41053</v>
      </c>
      <c r="BX3" s="11">
        <f>IF(COUNTIF(休日設定!$A$2:$A$398,BW$3+1)&gt;0,IF(COUNTIF(休日設定!$A$2:$A$398,BW$3+2)&gt;0,IF(COUNTIF(休日設定!$A$2:$A$398,BW$3+3)&gt;0,IF(COUNTIF(休日設定!$A$2:$A$398,BW$3+4)&gt;0,IF(COUNTIF(休日設定!$A$2:$A$398,BW$3+5)&gt;0,IF(COUNTIF(休日設定!$A$2:$A$398,BW$3+6)&gt;0,IF(COUNTIF(休日設定!$A$2:$A$398,BW$3+7)&gt;0,BW$3+8,BW$3+7),BW$3+6),BW$3+5),BW$3+4),BW$3+3),BW$3+2),BW$3+1)</f>
        <v>41054</v>
      </c>
      <c r="BY3" s="11">
        <f>IF(COUNTIF(休日設定!$A$2:$A$398,BX$3+1)&gt;0,IF(COUNTIF(休日設定!$A$2:$A$398,BX$3+2)&gt;0,IF(COUNTIF(休日設定!$A$2:$A$398,BX$3+3)&gt;0,IF(COUNTIF(休日設定!$A$2:$A$398,BX$3+4)&gt;0,IF(COUNTIF(休日設定!$A$2:$A$398,BX$3+5)&gt;0,IF(COUNTIF(休日設定!$A$2:$A$398,BX$3+6)&gt;0,IF(COUNTIF(休日設定!$A$2:$A$398,BX$3+7)&gt;0,BX$3+8,BX$3+7),BX$3+6),BX$3+5),BX$3+4),BX$3+3),BX$3+2),BX$3+1)</f>
        <v>41057</v>
      </c>
      <c r="BZ3" s="11">
        <f>IF(COUNTIF(休日設定!$A$2:$A$398,BY$3+1)&gt;0,IF(COUNTIF(休日設定!$A$2:$A$398,BY$3+2)&gt;0,IF(COUNTIF(休日設定!$A$2:$A$398,BY$3+3)&gt;0,IF(COUNTIF(休日設定!$A$2:$A$398,BY$3+4)&gt;0,IF(COUNTIF(休日設定!$A$2:$A$398,BY$3+5)&gt;0,IF(COUNTIF(休日設定!$A$2:$A$398,BY$3+6)&gt;0,IF(COUNTIF(休日設定!$A$2:$A$398,BY$3+7)&gt;0,BY$3+8,BY$3+7),BY$3+6),BY$3+5),BY$3+4),BY$3+3),BY$3+2),BY$3+1)</f>
        <v>41058</v>
      </c>
      <c r="CA3" s="11">
        <f>IF(COUNTIF(休日設定!$A$2:$A$398,BZ$3+1)&gt;0,IF(COUNTIF(休日設定!$A$2:$A$398,BZ$3+2)&gt;0,IF(COUNTIF(休日設定!$A$2:$A$398,BZ$3+3)&gt;0,IF(COUNTIF(休日設定!$A$2:$A$398,BZ$3+4)&gt;0,IF(COUNTIF(休日設定!$A$2:$A$398,BZ$3+5)&gt;0,IF(COUNTIF(休日設定!$A$2:$A$398,BZ$3+6)&gt;0,IF(COUNTIF(休日設定!$A$2:$A$398,BZ$3+7)&gt;0,BZ$3+8,BZ$3+7),BZ$3+6),BZ$3+5),BZ$3+4),BZ$3+3),BZ$3+2),BZ$3+1)</f>
        <v>41059</v>
      </c>
      <c r="CB3" s="11">
        <f>IF(COUNTIF(休日設定!$A$2:$A$398,CA$3+1)&gt;0,IF(COUNTIF(休日設定!$A$2:$A$398,CA$3+2)&gt;0,IF(COUNTIF(休日設定!$A$2:$A$398,CA$3+3)&gt;0,IF(COUNTIF(休日設定!$A$2:$A$398,CA$3+4)&gt;0,IF(COUNTIF(休日設定!$A$2:$A$398,CA$3+5)&gt;0,IF(COUNTIF(休日設定!$A$2:$A$398,CA$3+6)&gt;0,IF(COUNTIF(休日設定!$A$2:$A$398,CA$3+7)&gt;0,CA$3+8,CA$3+7),CA$3+6),CA$3+5),CA$3+4),CA$3+3),CA$3+2),CA$3+1)</f>
        <v>41060</v>
      </c>
      <c r="CC3" s="11">
        <f>IF(COUNTIF(休日設定!$A$2:$A$398,CB$3+1)&gt;0,IF(COUNTIF(休日設定!$A$2:$A$398,CB$3+2)&gt;0,IF(COUNTIF(休日設定!$A$2:$A$398,CB$3+3)&gt;0,IF(COUNTIF(休日設定!$A$2:$A$398,CB$3+4)&gt;0,IF(COUNTIF(休日設定!$A$2:$A$398,CB$3+5)&gt;0,IF(COUNTIF(休日設定!$A$2:$A$398,CB$3+6)&gt;0,IF(COUNTIF(休日設定!$A$2:$A$398,CB$3+7)&gt;0,CB$3+8,CB$3+7),CB$3+6),CB$3+5),CB$3+4),CB$3+3),CB$3+2),CB$3+1)</f>
        <v>41061</v>
      </c>
      <c r="CD3" s="11">
        <f>IF(COUNTIF(休日設定!$A$2:$A$398,CC$3+1)&gt;0,IF(COUNTIF(休日設定!$A$2:$A$398,CC$3+2)&gt;0,IF(COUNTIF(休日設定!$A$2:$A$398,CC$3+3)&gt;0,IF(COUNTIF(休日設定!$A$2:$A$398,CC$3+4)&gt;0,IF(COUNTIF(休日設定!$A$2:$A$398,CC$3+5)&gt;0,IF(COUNTIF(休日設定!$A$2:$A$398,CC$3+6)&gt;0,IF(COUNTIF(休日設定!$A$2:$A$398,CC$3+7)&gt;0,CC$3+8,CC$3+7),CC$3+6),CC$3+5),CC$3+4),CC$3+3),CC$3+2),CC$3+1)</f>
        <v>41064</v>
      </c>
      <c r="CE3" s="11">
        <f>IF(COUNTIF(休日設定!$A$2:$A$398,CD$3+1)&gt;0,IF(COUNTIF(休日設定!$A$2:$A$398,CD$3+2)&gt;0,IF(COUNTIF(休日設定!$A$2:$A$398,CD$3+3)&gt;0,IF(COUNTIF(休日設定!$A$2:$A$398,CD$3+4)&gt;0,IF(COUNTIF(休日設定!$A$2:$A$398,CD$3+5)&gt;0,IF(COUNTIF(休日設定!$A$2:$A$398,CD$3+6)&gt;0,IF(COUNTIF(休日設定!$A$2:$A$398,CD$3+7)&gt;0,CD$3+8,CD$3+7),CD$3+6),CD$3+5),CD$3+4),CD$3+3),CD$3+2),CD$3+1)</f>
        <v>41065</v>
      </c>
      <c r="CF3" s="11">
        <f>IF(COUNTIF(休日設定!$A$2:$A$398,CE$3+1)&gt;0,IF(COUNTIF(休日設定!$A$2:$A$398,CE$3+2)&gt;0,IF(COUNTIF(休日設定!$A$2:$A$398,CE$3+3)&gt;0,IF(COUNTIF(休日設定!$A$2:$A$398,CE$3+4)&gt;0,IF(COUNTIF(休日設定!$A$2:$A$398,CE$3+5)&gt;0,IF(COUNTIF(休日設定!$A$2:$A$398,CE$3+6)&gt;0,IF(COUNTIF(休日設定!$A$2:$A$398,CE$3+7)&gt;0,CE$3+8,CE$3+7),CE$3+6),CE$3+5),CE$3+4),CE$3+3),CE$3+2),CE$3+1)</f>
        <v>41066</v>
      </c>
      <c r="CG3" s="11">
        <f>IF(COUNTIF(休日設定!$A$2:$A$398,CF$3+1)&gt;0,IF(COUNTIF(休日設定!$A$2:$A$398,CF$3+2)&gt;0,IF(COUNTIF(休日設定!$A$2:$A$398,CF$3+3)&gt;0,IF(COUNTIF(休日設定!$A$2:$A$398,CF$3+4)&gt;0,IF(COUNTIF(休日設定!$A$2:$A$398,CF$3+5)&gt;0,IF(COUNTIF(休日設定!$A$2:$A$398,CF$3+6)&gt;0,IF(COUNTIF(休日設定!$A$2:$A$398,CF$3+7)&gt;0,CF$3+8,CF$3+7),CF$3+6),CF$3+5),CF$3+4),CF$3+3),CF$3+2),CF$3+1)</f>
        <v>41067</v>
      </c>
      <c r="CH3" s="11">
        <f>IF(COUNTIF(休日設定!$A$2:$A$398,CG$3+1)&gt;0,IF(COUNTIF(休日設定!$A$2:$A$398,CG$3+2)&gt;0,IF(COUNTIF(休日設定!$A$2:$A$398,CG$3+3)&gt;0,IF(COUNTIF(休日設定!$A$2:$A$398,CG$3+4)&gt;0,IF(COUNTIF(休日設定!$A$2:$A$398,CG$3+5)&gt;0,IF(COUNTIF(休日設定!$A$2:$A$398,CG$3+6)&gt;0,IF(COUNTIF(休日設定!$A$2:$A$398,CG$3+7)&gt;0,CG$3+8,CG$3+7),CG$3+6),CG$3+5),CG$3+4),CG$3+3),CG$3+2),CG$3+1)</f>
        <v>41068</v>
      </c>
      <c r="CI3" s="11">
        <f>IF(COUNTIF(休日設定!$A$2:$A$398,CH$3+1)&gt;0,IF(COUNTIF(休日設定!$A$2:$A$398,CH$3+2)&gt;0,IF(COUNTIF(休日設定!$A$2:$A$398,CH$3+3)&gt;0,IF(COUNTIF(休日設定!$A$2:$A$398,CH$3+4)&gt;0,IF(COUNTIF(休日設定!$A$2:$A$398,CH$3+5)&gt;0,IF(COUNTIF(休日設定!$A$2:$A$398,CH$3+6)&gt;0,IF(COUNTIF(休日設定!$A$2:$A$398,CH$3+7)&gt;0,CH$3+8,CH$3+7),CH$3+6),CH$3+5),CH$3+4),CH$3+3),CH$3+2),CH$3+1)</f>
        <v>41071</v>
      </c>
      <c r="CJ3" s="11">
        <f>IF(COUNTIF(休日設定!$A$2:$A$398,CI$3+1)&gt;0,IF(COUNTIF(休日設定!$A$2:$A$398,CI$3+2)&gt;0,IF(COUNTIF(休日設定!$A$2:$A$398,CI$3+3)&gt;0,IF(COUNTIF(休日設定!$A$2:$A$398,CI$3+4)&gt;0,IF(COUNTIF(休日設定!$A$2:$A$398,CI$3+5)&gt;0,IF(COUNTIF(休日設定!$A$2:$A$398,CI$3+6)&gt;0,IF(COUNTIF(休日設定!$A$2:$A$398,CI$3+7)&gt;0,CI$3+8,CI$3+7),CI$3+6),CI$3+5),CI$3+4),CI$3+3),CI$3+2),CI$3+1)</f>
        <v>41072</v>
      </c>
      <c r="CK3" s="11">
        <f>IF(COUNTIF(休日設定!$A$2:$A$398,CJ$3+1)&gt;0,IF(COUNTIF(休日設定!$A$2:$A$398,CJ$3+2)&gt;0,IF(COUNTIF(休日設定!$A$2:$A$398,CJ$3+3)&gt;0,IF(COUNTIF(休日設定!$A$2:$A$398,CJ$3+4)&gt;0,IF(COUNTIF(休日設定!$A$2:$A$398,CJ$3+5)&gt;0,IF(COUNTIF(休日設定!$A$2:$A$398,CJ$3+6)&gt;0,IF(COUNTIF(休日設定!$A$2:$A$398,CJ$3+7)&gt;0,CJ$3+8,CJ$3+7),CJ$3+6),CJ$3+5),CJ$3+4),CJ$3+3),CJ$3+2),CJ$3+1)</f>
        <v>41073</v>
      </c>
      <c r="CL3" s="11">
        <f>IF(COUNTIF(休日設定!$A$2:$A$398,CK$3+1)&gt;0,IF(COUNTIF(休日設定!$A$2:$A$398,CK$3+2)&gt;0,IF(COUNTIF(休日設定!$A$2:$A$398,CK$3+3)&gt;0,IF(COUNTIF(休日設定!$A$2:$A$398,CK$3+4)&gt;0,IF(COUNTIF(休日設定!$A$2:$A$398,CK$3+5)&gt;0,IF(COUNTIF(休日設定!$A$2:$A$398,CK$3+6)&gt;0,IF(COUNTIF(休日設定!$A$2:$A$398,CK$3+7)&gt;0,CK$3+8,CK$3+7),CK$3+6),CK$3+5),CK$3+4),CK$3+3),CK$3+2),CK$3+1)</f>
        <v>41074</v>
      </c>
      <c r="CM3" s="11">
        <f>IF(COUNTIF(休日設定!$A$2:$A$398,CL$3+1)&gt;0,IF(COUNTIF(休日設定!$A$2:$A$398,CL$3+2)&gt;0,IF(COUNTIF(休日設定!$A$2:$A$398,CL$3+3)&gt;0,IF(COUNTIF(休日設定!$A$2:$A$398,CL$3+4)&gt;0,IF(COUNTIF(休日設定!$A$2:$A$398,CL$3+5)&gt;0,IF(COUNTIF(休日設定!$A$2:$A$398,CL$3+6)&gt;0,IF(COUNTIF(休日設定!$A$2:$A$398,CL$3+7)&gt;0,CL$3+8,CL$3+7),CL$3+6),CL$3+5),CL$3+4),CL$3+3),CL$3+2),CL$3+1)</f>
        <v>41075</v>
      </c>
      <c r="CN3" s="11">
        <f>IF(COUNTIF(休日設定!$A$2:$A$398,CM$3+1)&gt;0,IF(COUNTIF(休日設定!$A$2:$A$398,CM$3+2)&gt;0,IF(COUNTIF(休日設定!$A$2:$A$398,CM$3+3)&gt;0,IF(COUNTIF(休日設定!$A$2:$A$398,CM$3+4)&gt;0,IF(COUNTIF(休日設定!$A$2:$A$398,CM$3+5)&gt;0,IF(COUNTIF(休日設定!$A$2:$A$398,CM$3+6)&gt;0,IF(COUNTIF(休日設定!$A$2:$A$398,CM$3+7)&gt;0,CM$3+8,CM$3+7),CM$3+6),CM$3+5),CM$3+4),CM$3+3),CM$3+2),CM$3+1)</f>
        <v>41078</v>
      </c>
      <c r="CO3" s="11">
        <f>IF(COUNTIF(休日設定!$A$2:$A$398,CN$3+1)&gt;0,IF(COUNTIF(休日設定!$A$2:$A$398,CN$3+2)&gt;0,IF(COUNTIF(休日設定!$A$2:$A$398,CN$3+3)&gt;0,IF(COUNTIF(休日設定!$A$2:$A$398,CN$3+4)&gt;0,IF(COUNTIF(休日設定!$A$2:$A$398,CN$3+5)&gt;0,IF(COUNTIF(休日設定!$A$2:$A$398,CN$3+6)&gt;0,IF(COUNTIF(休日設定!$A$2:$A$398,CN$3+7)&gt;0,CN$3+8,CN$3+7),CN$3+6),CN$3+5),CN$3+4),CN$3+3),CN$3+2),CN$3+1)</f>
        <v>41079</v>
      </c>
      <c r="CP3" s="11">
        <f>IF(COUNTIF(休日設定!$A$2:$A$398,CO$3+1)&gt;0,IF(COUNTIF(休日設定!$A$2:$A$398,CO$3+2)&gt;0,IF(COUNTIF(休日設定!$A$2:$A$398,CO$3+3)&gt;0,IF(COUNTIF(休日設定!$A$2:$A$398,CO$3+4)&gt;0,IF(COUNTIF(休日設定!$A$2:$A$398,CO$3+5)&gt;0,IF(COUNTIF(休日設定!$A$2:$A$398,CO$3+6)&gt;0,IF(COUNTIF(休日設定!$A$2:$A$398,CO$3+7)&gt;0,CO$3+8,CO$3+7),CO$3+6),CO$3+5),CO$3+4),CO$3+3),CO$3+2),CO$3+1)</f>
        <v>41080</v>
      </c>
      <c r="CQ3" s="11">
        <f>IF(COUNTIF(休日設定!$A$2:$A$398,CP$3+1)&gt;0,IF(COUNTIF(休日設定!$A$2:$A$398,CP$3+2)&gt;0,IF(COUNTIF(休日設定!$A$2:$A$398,CP$3+3)&gt;0,IF(COUNTIF(休日設定!$A$2:$A$398,CP$3+4)&gt;0,IF(COUNTIF(休日設定!$A$2:$A$398,CP$3+5)&gt;0,IF(COUNTIF(休日設定!$A$2:$A$398,CP$3+6)&gt;0,IF(COUNTIF(休日設定!$A$2:$A$398,CP$3+7)&gt;0,CP$3+8,CP$3+7),CP$3+6),CP$3+5),CP$3+4),CP$3+3),CP$3+2),CP$3+1)</f>
        <v>41081</v>
      </c>
      <c r="CR3" s="11">
        <f>IF(COUNTIF(休日設定!$A$2:$A$398,CQ$3+1)&gt;0,IF(COUNTIF(休日設定!$A$2:$A$398,CQ$3+2)&gt;0,IF(COUNTIF(休日設定!$A$2:$A$398,CQ$3+3)&gt;0,IF(COUNTIF(休日設定!$A$2:$A$398,CQ$3+4)&gt;0,IF(COUNTIF(休日設定!$A$2:$A$398,CQ$3+5)&gt;0,IF(COUNTIF(休日設定!$A$2:$A$398,CQ$3+6)&gt;0,IF(COUNTIF(休日設定!$A$2:$A$398,CQ$3+7)&gt;0,CQ$3+8,CQ$3+7),CQ$3+6),CQ$3+5),CQ$3+4),CQ$3+3),CQ$3+2),CQ$3+1)</f>
        <v>41082</v>
      </c>
      <c r="CS3" s="11">
        <f>IF(COUNTIF(休日設定!$A$2:$A$398,CR$3+1)&gt;0,IF(COUNTIF(休日設定!$A$2:$A$398,CR$3+2)&gt;0,IF(COUNTIF(休日設定!$A$2:$A$398,CR$3+3)&gt;0,IF(COUNTIF(休日設定!$A$2:$A$398,CR$3+4)&gt;0,IF(COUNTIF(休日設定!$A$2:$A$398,CR$3+5)&gt;0,IF(COUNTIF(休日設定!$A$2:$A$398,CR$3+6)&gt;0,IF(COUNTIF(休日設定!$A$2:$A$398,CR$3+7)&gt;0,CR$3+8,CR$3+7),CR$3+6),CR$3+5),CR$3+4),CR$3+3),CR$3+2),CR$3+1)</f>
        <v>41085</v>
      </c>
      <c r="CT3" s="11">
        <f>IF(COUNTIF(休日設定!$A$2:$A$398,CS$3+1)&gt;0,IF(COUNTIF(休日設定!$A$2:$A$398,CS$3+2)&gt;0,IF(COUNTIF(休日設定!$A$2:$A$398,CS$3+3)&gt;0,IF(COUNTIF(休日設定!$A$2:$A$398,CS$3+4)&gt;0,IF(COUNTIF(休日設定!$A$2:$A$398,CS$3+5)&gt;0,IF(COUNTIF(休日設定!$A$2:$A$398,CS$3+6)&gt;0,IF(COUNTIF(休日設定!$A$2:$A$398,CS$3+7)&gt;0,CS$3+8,CS$3+7),CS$3+6),CS$3+5),CS$3+4),CS$3+3),CS$3+2),CS$3+1)</f>
        <v>41086</v>
      </c>
      <c r="CU3" s="11">
        <f>IF(COUNTIF(休日設定!$A$2:$A$398,CT$3+1)&gt;0,IF(COUNTIF(休日設定!$A$2:$A$398,CT$3+2)&gt;0,IF(COUNTIF(休日設定!$A$2:$A$398,CT$3+3)&gt;0,IF(COUNTIF(休日設定!$A$2:$A$398,CT$3+4)&gt;0,IF(COUNTIF(休日設定!$A$2:$A$398,CT$3+5)&gt;0,IF(COUNTIF(休日設定!$A$2:$A$398,CT$3+6)&gt;0,IF(COUNTIF(休日設定!$A$2:$A$398,CT$3+7)&gt;0,CT$3+8,CT$3+7),CT$3+6),CT$3+5),CT$3+4),CT$3+3),CT$3+2),CT$3+1)</f>
        <v>41087</v>
      </c>
      <c r="CV3" s="11">
        <f>IF(COUNTIF(休日設定!$A$2:$A$398,CU$3+1)&gt;0,IF(COUNTIF(休日設定!$A$2:$A$398,CU$3+2)&gt;0,IF(COUNTIF(休日設定!$A$2:$A$398,CU$3+3)&gt;0,IF(COUNTIF(休日設定!$A$2:$A$398,CU$3+4)&gt;0,IF(COUNTIF(休日設定!$A$2:$A$398,CU$3+5)&gt;0,IF(COUNTIF(休日設定!$A$2:$A$398,CU$3+6)&gt;0,IF(COUNTIF(休日設定!$A$2:$A$398,CU$3+7)&gt;0,CU$3+8,CU$3+7),CU$3+6),CU$3+5),CU$3+4),CU$3+3),CU$3+2),CU$3+1)</f>
        <v>41088</v>
      </c>
      <c r="CW3" s="11">
        <f>IF(COUNTIF(休日設定!$A$2:$A$398,CV$3+1)&gt;0,IF(COUNTIF(休日設定!$A$2:$A$398,CV$3+2)&gt;0,IF(COUNTIF(休日設定!$A$2:$A$398,CV$3+3)&gt;0,IF(COUNTIF(休日設定!$A$2:$A$398,CV$3+4)&gt;0,IF(COUNTIF(休日設定!$A$2:$A$398,CV$3+5)&gt;0,IF(COUNTIF(休日設定!$A$2:$A$398,CV$3+6)&gt;0,IF(COUNTIF(休日設定!$A$2:$A$398,CV$3+7)&gt;0,CV$3+8,CV$3+7),CV$3+6),CV$3+5),CV$3+4),CV$3+3),CV$3+2),CV$3+1)</f>
        <v>41089</v>
      </c>
      <c r="CX3" s="11">
        <f>IF(COUNTIF(休日設定!$A$2:$A$398,CW$3+1)&gt;0,IF(COUNTIF(休日設定!$A$2:$A$398,CW$3+2)&gt;0,IF(COUNTIF(休日設定!$A$2:$A$398,CW$3+3)&gt;0,IF(COUNTIF(休日設定!$A$2:$A$398,CW$3+4)&gt;0,IF(COUNTIF(休日設定!$A$2:$A$398,CW$3+5)&gt;0,IF(COUNTIF(休日設定!$A$2:$A$398,CW$3+6)&gt;0,IF(COUNTIF(休日設定!$A$2:$A$398,CW$3+7)&gt;0,CW$3+8,CW$3+7),CW$3+6),CW$3+5),CW$3+4),CW$3+3),CW$3+2),CW$3+1)</f>
        <v>41092</v>
      </c>
      <c r="CY3" s="11">
        <f>IF(COUNTIF(休日設定!$A$2:$A$398,CX$3+1)&gt;0,IF(COUNTIF(休日設定!$A$2:$A$398,CX$3+2)&gt;0,IF(COUNTIF(休日設定!$A$2:$A$398,CX$3+3)&gt;0,IF(COUNTIF(休日設定!$A$2:$A$398,CX$3+4)&gt;0,IF(COUNTIF(休日設定!$A$2:$A$398,CX$3+5)&gt;0,IF(COUNTIF(休日設定!$A$2:$A$398,CX$3+6)&gt;0,IF(COUNTIF(休日設定!$A$2:$A$398,CX$3+7)&gt;0,CX$3+8,CX$3+7),CX$3+6),CX$3+5),CX$3+4),CX$3+3),CX$3+2),CX$3+1)</f>
        <v>41093</v>
      </c>
      <c r="CZ3" s="11">
        <f>IF(COUNTIF(休日設定!$A$2:$A$398,CY$3+1)&gt;0,IF(COUNTIF(休日設定!$A$2:$A$398,CY$3+2)&gt;0,IF(COUNTIF(休日設定!$A$2:$A$398,CY$3+3)&gt;0,IF(COUNTIF(休日設定!$A$2:$A$398,CY$3+4)&gt;0,IF(COUNTIF(休日設定!$A$2:$A$398,CY$3+5)&gt;0,IF(COUNTIF(休日設定!$A$2:$A$398,CY$3+6)&gt;0,IF(COUNTIF(休日設定!$A$2:$A$398,CY$3+7)&gt;0,CY$3+8,CY$3+7),CY$3+6),CY$3+5),CY$3+4),CY$3+3),CY$3+2),CY$3+1)</f>
        <v>41094</v>
      </c>
      <c r="DA3" s="11">
        <f>IF(COUNTIF(休日設定!$A$2:$A$398,CZ$3+1)&gt;0,IF(COUNTIF(休日設定!$A$2:$A$398,CZ$3+2)&gt;0,IF(COUNTIF(休日設定!$A$2:$A$398,CZ$3+3)&gt;0,IF(COUNTIF(休日設定!$A$2:$A$398,CZ$3+4)&gt;0,IF(COUNTIF(休日設定!$A$2:$A$398,CZ$3+5)&gt;0,IF(COUNTIF(休日設定!$A$2:$A$398,CZ$3+6)&gt;0,IF(COUNTIF(休日設定!$A$2:$A$398,CZ$3+7)&gt;0,CZ$3+8,CZ$3+7),CZ$3+6),CZ$3+5),CZ$3+4),CZ$3+3),CZ$3+2),CZ$3+1)</f>
        <v>41095</v>
      </c>
      <c r="DB3" s="11">
        <f>IF(COUNTIF(休日設定!$A$2:$A$398,DA$3+1)&gt;0,IF(COUNTIF(休日設定!$A$2:$A$398,DA$3+2)&gt;0,IF(COUNTIF(休日設定!$A$2:$A$398,DA$3+3)&gt;0,IF(COUNTIF(休日設定!$A$2:$A$398,DA$3+4)&gt;0,IF(COUNTIF(休日設定!$A$2:$A$398,DA$3+5)&gt;0,IF(COUNTIF(休日設定!$A$2:$A$398,DA$3+6)&gt;0,IF(COUNTIF(休日設定!$A$2:$A$398,DA$3+7)&gt;0,DA$3+8,DA$3+7),DA$3+6),DA$3+5),DA$3+4),DA$3+3),DA$3+2),DA$3+1)</f>
        <v>41096</v>
      </c>
      <c r="DC3" s="11">
        <f>IF(COUNTIF(休日設定!$A$2:$A$398,DB$3+1)&gt;0,IF(COUNTIF(休日設定!$A$2:$A$398,DB$3+2)&gt;0,IF(COUNTIF(休日設定!$A$2:$A$398,DB$3+3)&gt;0,IF(COUNTIF(休日設定!$A$2:$A$398,DB$3+4)&gt;0,IF(COUNTIF(休日設定!$A$2:$A$398,DB$3+5)&gt;0,IF(COUNTIF(休日設定!$A$2:$A$398,DB$3+6)&gt;0,IF(COUNTIF(休日設定!$A$2:$A$398,DB$3+7)&gt;0,DB$3+8,DB$3+7),DB$3+6),DB$3+5),DB$3+4),DB$3+3),DB$3+2),DB$3+1)</f>
        <v>41099</v>
      </c>
      <c r="DD3" s="11">
        <f>IF(COUNTIF(休日設定!$A$2:$A$398,DC$3+1)&gt;0,IF(COUNTIF(休日設定!$A$2:$A$398,DC$3+2)&gt;0,IF(COUNTIF(休日設定!$A$2:$A$398,DC$3+3)&gt;0,IF(COUNTIF(休日設定!$A$2:$A$398,DC$3+4)&gt;0,IF(COUNTIF(休日設定!$A$2:$A$398,DC$3+5)&gt;0,IF(COUNTIF(休日設定!$A$2:$A$398,DC$3+6)&gt;0,IF(COUNTIF(休日設定!$A$2:$A$398,DC$3+7)&gt;0,DC$3+8,DC$3+7),DC$3+6),DC$3+5),DC$3+4),DC$3+3),DC$3+2),DC$3+1)</f>
        <v>41100</v>
      </c>
      <c r="DE3" s="11">
        <f>IF(COUNTIF(休日設定!$A$2:$A$398,DD$3+1)&gt;0,IF(COUNTIF(休日設定!$A$2:$A$398,DD$3+2)&gt;0,IF(COUNTIF(休日設定!$A$2:$A$398,DD$3+3)&gt;0,IF(COUNTIF(休日設定!$A$2:$A$398,DD$3+4)&gt;0,IF(COUNTIF(休日設定!$A$2:$A$398,DD$3+5)&gt;0,IF(COUNTIF(休日設定!$A$2:$A$398,DD$3+6)&gt;0,IF(COUNTIF(休日設定!$A$2:$A$398,DD$3+7)&gt;0,DD$3+8,DD$3+7),DD$3+6),DD$3+5),DD$3+4),DD$3+3),DD$3+2),DD$3+1)</f>
        <v>41101</v>
      </c>
      <c r="DF3" s="11">
        <f>IF(COUNTIF(休日設定!$A$2:$A$398,DE$3+1)&gt;0,IF(COUNTIF(休日設定!$A$2:$A$398,DE$3+2)&gt;0,IF(COUNTIF(休日設定!$A$2:$A$398,DE$3+3)&gt;0,IF(COUNTIF(休日設定!$A$2:$A$398,DE$3+4)&gt;0,IF(COUNTIF(休日設定!$A$2:$A$398,DE$3+5)&gt;0,IF(COUNTIF(休日設定!$A$2:$A$398,DE$3+6)&gt;0,IF(COUNTIF(休日設定!$A$2:$A$398,DE$3+7)&gt;0,DE$3+8,DE$3+7),DE$3+6),DE$3+5),DE$3+4),DE$3+3),DE$3+2),DE$3+1)</f>
        <v>41102</v>
      </c>
      <c r="DG3" s="11">
        <f>IF(COUNTIF(休日設定!$A$2:$A$398,DF$3+1)&gt;0,IF(COUNTIF(休日設定!$A$2:$A$398,DF$3+2)&gt;0,IF(COUNTIF(休日設定!$A$2:$A$398,DF$3+3)&gt;0,IF(COUNTIF(休日設定!$A$2:$A$398,DF$3+4)&gt;0,IF(COUNTIF(休日設定!$A$2:$A$398,DF$3+5)&gt;0,IF(COUNTIF(休日設定!$A$2:$A$398,DF$3+6)&gt;0,IF(COUNTIF(休日設定!$A$2:$A$398,DF$3+7)&gt;0,DF$3+8,DF$3+7),DF$3+6),DF$3+5),DF$3+4),DF$3+3),DF$3+2),DF$3+1)</f>
        <v>41103</v>
      </c>
      <c r="DH3" s="11">
        <f>IF(COUNTIF(休日設定!$A$2:$A$398,DG$3+1)&gt;0,IF(COUNTIF(休日設定!$A$2:$A$398,DG$3+2)&gt;0,IF(COUNTIF(休日設定!$A$2:$A$398,DG$3+3)&gt;0,IF(COUNTIF(休日設定!$A$2:$A$398,DG$3+4)&gt;0,IF(COUNTIF(休日設定!$A$2:$A$398,DG$3+5)&gt;0,IF(COUNTIF(休日設定!$A$2:$A$398,DG$3+6)&gt;0,IF(COUNTIF(休日設定!$A$2:$A$398,DG$3+7)&gt;0,DG$3+8,DG$3+7),DG$3+6),DG$3+5),DG$3+4),DG$3+3),DG$3+2),DG$3+1)</f>
        <v>41106</v>
      </c>
      <c r="DI3" s="11">
        <f>IF(COUNTIF(休日設定!$A$2:$A$398,DH$3+1)&gt;0,IF(COUNTIF(休日設定!$A$2:$A$398,DH$3+2)&gt;0,IF(COUNTIF(休日設定!$A$2:$A$398,DH$3+3)&gt;0,IF(COUNTIF(休日設定!$A$2:$A$398,DH$3+4)&gt;0,IF(COUNTIF(休日設定!$A$2:$A$398,DH$3+5)&gt;0,IF(COUNTIF(休日設定!$A$2:$A$398,DH$3+6)&gt;0,IF(COUNTIF(休日設定!$A$2:$A$398,DH$3+7)&gt;0,DH$3+8,DH$3+7),DH$3+6),DH$3+5),DH$3+4),DH$3+3),DH$3+2),DH$3+1)</f>
        <v>41107</v>
      </c>
      <c r="DJ3" s="11">
        <f>IF(COUNTIF(休日設定!$A$2:$A$398,DI$3+1)&gt;0,IF(COUNTIF(休日設定!$A$2:$A$398,DI$3+2)&gt;0,IF(COUNTIF(休日設定!$A$2:$A$398,DI$3+3)&gt;0,IF(COUNTIF(休日設定!$A$2:$A$398,DI$3+4)&gt;0,IF(COUNTIF(休日設定!$A$2:$A$398,DI$3+5)&gt;0,IF(COUNTIF(休日設定!$A$2:$A$398,DI$3+6)&gt;0,IF(COUNTIF(休日設定!$A$2:$A$398,DI$3+7)&gt;0,DI$3+8,DI$3+7),DI$3+6),DI$3+5),DI$3+4),DI$3+3),DI$3+2),DI$3+1)</f>
        <v>41108</v>
      </c>
      <c r="DK3" s="11">
        <f>IF(COUNTIF(休日設定!$A$2:$A$398,DJ$3+1)&gt;0,IF(COUNTIF(休日設定!$A$2:$A$398,DJ$3+2)&gt;0,IF(COUNTIF(休日設定!$A$2:$A$398,DJ$3+3)&gt;0,IF(COUNTIF(休日設定!$A$2:$A$398,DJ$3+4)&gt;0,IF(COUNTIF(休日設定!$A$2:$A$398,DJ$3+5)&gt;0,IF(COUNTIF(休日設定!$A$2:$A$398,DJ$3+6)&gt;0,IF(COUNTIF(休日設定!$A$2:$A$398,DJ$3+7)&gt;0,DJ$3+8,DJ$3+7),DJ$3+6),DJ$3+5),DJ$3+4),DJ$3+3),DJ$3+2),DJ$3+1)</f>
        <v>41109</v>
      </c>
      <c r="DL3" s="11">
        <f>IF(COUNTIF(休日設定!$A$2:$A$398,DK$3+1)&gt;0,IF(COUNTIF(休日設定!$A$2:$A$398,DK$3+2)&gt;0,IF(COUNTIF(休日設定!$A$2:$A$398,DK$3+3)&gt;0,IF(COUNTIF(休日設定!$A$2:$A$398,DK$3+4)&gt;0,IF(COUNTIF(休日設定!$A$2:$A$398,DK$3+5)&gt;0,IF(COUNTIF(休日設定!$A$2:$A$398,DK$3+6)&gt;0,IF(COUNTIF(休日設定!$A$2:$A$398,DK$3+7)&gt;0,DK$3+8,DK$3+7),DK$3+6),DK$3+5),DK$3+4),DK$3+3),DK$3+2),DK$3+1)</f>
        <v>41110</v>
      </c>
      <c r="DM3" s="11">
        <f>IF(COUNTIF(休日設定!$A$2:$A$398,DL$3+1)&gt;0,IF(COUNTIF(休日設定!$A$2:$A$398,DL$3+2)&gt;0,IF(COUNTIF(休日設定!$A$2:$A$398,DL$3+3)&gt;0,IF(COUNTIF(休日設定!$A$2:$A$398,DL$3+4)&gt;0,IF(COUNTIF(休日設定!$A$2:$A$398,DL$3+5)&gt;0,IF(COUNTIF(休日設定!$A$2:$A$398,DL$3+6)&gt;0,IF(COUNTIF(休日設定!$A$2:$A$398,DL$3+7)&gt;0,DL$3+8,DL$3+7),DL$3+6),DL$3+5),DL$3+4),DL$3+3),DL$3+2),DL$3+1)</f>
        <v>41113</v>
      </c>
      <c r="DN3" s="11">
        <f>IF(COUNTIF(休日設定!$A$2:$A$398,DM$3+1)&gt;0,IF(COUNTIF(休日設定!$A$2:$A$398,DM$3+2)&gt;0,IF(COUNTIF(休日設定!$A$2:$A$398,DM$3+3)&gt;0,IF(COUNTIF(休日設定!$A$2:$A$398,DM$3+4)&gt;0,IF(COUNTIF(休日設定!$A$2:$A$398,DM$3+5)&gt;0,IF(COUNTIF(休日設定!$A$2:$A$398,DM$3+6)&gt;0,IF(COUNTIF(休日設定!$A$2:$A$398,DM$3+7)&gt;0,DM$3+8,DM$3+7),DM$3+6),DM$3+5),DM$3+4),DM$3+3),DM$3+2),DM$3+1)</f>
        <v>41114</v>
      </c>
      <c r="DO3" s="11">
        <f>IF(COUNTIF(休日設定!$A$2:$A$398,DN$3+1)&gt;0,IF(COUNTIF(休日設定!$A$2:$A$398,DN$3+2)&gt;0,IF(COUNTIF(休日設定!$A$2:$A$398,DN$3+3)&gt;0,IF(COUNTIF(休日設定!$A$2:$A$398,DN$3+4)&gt;0,IF(COUNTIF(休日設定!$A$2:$A$398,DN$3+5)&gt;0,IF(COUNTIF(休日設定!$A$2:$A$398,DN$3+6)&gt;0,IF(COUNTIF(休日設定!$A$2:$A$398,DN$3+7)&gt;0,DN$3+8,DN$3+7),DN$3+6),DN$3+5),DN$3+4),DN$3+3),DN$3+2),DN$3+1)</f>
        <v>41115</v>
      </c>
      <c r="DP3" s="11">
        <f>IF(COUNTIF(休日設定!$A$2:$A$398,DO$3+1)&gt;0,IF(COUNTIF(休日設定!$A$2:$A$398,DO$3+2)&gt;0,IF(COUNTIF(休日設定!$A$2:$A$398,DO$3+3)&gt;0,IF(COUNTIF(休日設定!$A$2:$A$398,DO$3+4)&gt;0,IF(COUNTIF(休日設定!$A$2:$A$398,DO$3+5)&gt;0,IF(COUNTIF(休日設定!$A$2:$A$398,DO$3+6)&gt;0,IF(COUNTIF(休日設定!$A$2:$A$398,DO$3+7)&gt;0,DO$3+8,DO$3+7),DO$3+6),DO$3+5),DO$3+4),DO$3+3),DO$3+2),DO$3+1)</f>
        <v>41116</v>
      </c>
      <c r="DQ3" s="11">
        <f>IF(COUNTIF(休日設定!$A$2:$A$398,DP$3+1)&gt;0,IF(COUNTIF(休日設定!$A$2:$A$398,DP$3+2)&gt;0,IF(COUNTIF(休日設定!$A$2:$A$398,DP$3+3)&gt;0,IF(COUNTIF(休日設定!$A$2:$A$398,DP$3+4)&gt;0,IF(COUNTIF(休日設定!$A$2:$A$398,DP$3+5)&gt;0,IF(COUNTIF(休日設定!$A$2:$A$398,DP$3+6)&gt;0,IF(COUNTIF(休日設定!$A$2:$A$398,DP$3+7)&gt;0,DP$3+8,DP$3+7),DP$3+6),DP$3+5),DP$3+4),DP$3+3),DP$3+2),DP$3+1)</f>
        <v>41117</v>
      </c>
      <c r="DR3" s="11">
        <f>IF(COUNTIF(休日設定!$A$2:$A$398,DQ$3+1)&gt;0,IF(COUNTIF(休日設定!$A$2:$A$398,DQ$3+2)&gt;0,IF(COUNTIF(休日設定!$A$2:$A$398,DQ$3+3)&gt;0,IF(COUNTIF(休日設定!$A$2:$A$398,DQ$3+4)&gt;0,IF(COUNTIF(休日設定!$A$2:$A$398,DQ$3+5)&gt;0,IF(COUNTIF(休日設定!$A$2:$A$398,DQ$3+6)&gt;0,IF(COUNTIF(休日設定!$A$2:$A$398,DQ$3+7)&gt;0,DQ$3+8,DQ$3+7),DQ$3+6),DQ$3+5),DQ$3+4),DQ$3+3),DQ$3+2),DQ$3+1)</f>
        <v>41120</v>
      </c>
      <c r="DS3" s="11">
        <f>IF(COUNTIF(休日設定!$A$2:$A$398,DR$3+1)&gt;0,IF(COUNTIF(休日設定!$A$2:$A$398,DR$3+2)&gt;0,IF(COUNTIF(休日設定!$A$2:$A$398,DR$3+3)&gt;0,IF(COUNTIF(休日設定!$A$2:$A$398,DR$3+4)&gt;0,IF(COUNTIF(休日設定!$A$2:$A$398,DR$3+5)&gt;0,IF(COUNTIF(休日設定!$A$2:$A$398,DR$3+6)&gt;0,IF(COUNTIF(休日設定!$A$2:$A$398,DR$3+7)&gt;0,DR$3+8,DR$3+7),DR$3+6),DR$3+5),DR$3+4),DR$3+3),DR$3+2),DR$3+1)</f>
        <v>41121</v>
      </c>
      <c r="DT3" s="11">
        <f>IF(COUNTIF(休日設定!$A$2:$A$398,DS$3+1)&gt;0,IF(COUNTIF(休日設定!$A$2:$A$398,DS$3+2)&gt;0,IF(COUNTIF(休日設定!$A$2:$A$398,DS$3+3)&gt;0,IF(COUNTIF(休日設定!$A$2:$A$398,DS$3+4)&gt;0,IF(COUNTIF(休日設定!$A$2:$A$398,DS$3+5)&gt;0,IF(COUNTIF(休日設定!$A$2:$A$398,DS$3+6)&gt;0,IF(COUNTIF(休日設定!$A$2:$A$398,DS$3+7)&gt;0,DS$3+8,DS$3+7),DS$3+6),DS$3+5),DS$3+4),DS$3+3),DS$3+2),DS$3+1)</f>
        <v>41122</v>
      </c>
      <c r="DU3" s="11">
        <f>IF(COUNTIF(休日設定!$A$2:$A$398,DT$3+1)&gt;0,IF(COUNTIF(休日設定!$A$2:$A$398,DT$3+2)&gt;0,IF(COUNTIF(休日設定!$A$2:$A$398,DT$3+3)&gt;0,IF(COUNTIF(休日設定!$A$2:$A$398,DT$3+4)&gt;0,IF(COUNTIF(休日設定!$A$2:$A$398,DT$3+5)&gt;0,IF(COUNTIF(休日設定!$A$2:$A$398,DT$3+6)&gt;0,IF(COUNTIF(休日設定!$A$2:$A$398,DT$3+7)&gt;0,DT$3+8,DT$3+7),DT$3+6),DT$3+5),DT$3+4),DT$3+3),DT$3+2),DT$3+1)</f>
        <v>41123</v>
      </c>
      <c r="DV3" s="11">
        <f>IF(COUNTIF(休日設定!$A$2:$A$398,DU$3+1)&gt;0,IF(COUNTIF(休日設定!$A$2:$A$398,DU$3+2)&gt;0,IF(COUNTIF(休日設定!$A$2:$A$398,DU$3+3)&gt;0,IF(COUNTIF(休日設定!$A$2:$A$398,DU$3+4)&gt;0,IF(COUNTIF(休日設定!$A$2:$A$398,DU$3+5)&gt;0,IF(COUNTIF(休日設定!$A$2:$A$398,DU$3+6)&gt;0,IF(COUNTIF(休日設定!$A$2:$A$398,DU$3+7)&gt;0,DU$3+8,DU$3+7),DU$3+6),DU$3+5),DU$3+4),DU$3+3),DU$3+2),DU$3+1)</f>
        <v>41124</v>
      </c>
      <c r="DW3" s="11">
        <f>IF(COUNTIF(休日設定!$A$2:$A$398,DV$3+1)&gt;0,IF(COUNTIF(休日設定!$A$2:$A$398,DV$3+2)&gt;0,IF(COUNTIF(休日設定!$A$2:$A$398,DV$3+3)&gt;0,IF(COUNTIF(休日設定!$A$2:$A$398,DV$3+4)&gt;0,IF(COUNTIF(休日設定!$A$2:$A$398,DV$3+5)&gt;0,IF(COUNTIF(休日設定!$A$2:$A$398,DV$3+6)&gt;0,IF(COUNTIF(休日設定!$A$2:$A$398,DV$3+7)&gt;0,DV$3+8,DV$3+7),DV$3+6),DV$3+5),DV$3+4),DV$3+3),DV$3+2),DV$3+1)</f>
        <v>41127</v>
      </c>
      <c r="DX3" s="11">
        <f>IF(COUNTIF(休日設定!$A$2:$A$398,DW$3+1)&gt;0,IF(COUNTIF(休日設定!$A$2:$A$398,DW$3+2)&gt;0,IF(COUNTIF(休日設定!$A$2:$A$398,DW$3+3)&gt;0,IF(COUNTIF(休日設定!$A$2:$A$398,DW$3+4)&gt;0,IF(COUNTIF(休日設定!$A$2:$A$398,DW$3+5)&gt;0,IF(COUNTIF(休日設定!$A$2:$A$398,DW$3+6)&gt;0,IF(COUNTIF(休日設定!$A$2:$A$398,DW$3+7)&gt;0,DW$3+8,DW$3+7),DW$3+6),DW$3+5),DW$3+4),DW$3+3),DW$3+2),DW$3+1)</f>
        <v>41128</v>
      </c>
      <c r="DY3" s="11">
        <f>IF(COUNTIF(休日設定!$A$2:$A$398,DX$3+1)&gt;0,IF(COUNTIF(休日設定!$A$2:$A$398,DX$3+2)&gt;0,IF(COUNTIF(休日設定!$A$2:$A$398,DX$3+3)&gt;0,IF(COUNTIF(休日設定!$A$2:$A$398,DX$3+4)&gt;0,IF(COUNTIF(休日設定!$A$2:$A$398,DX$3+5)&gt;0,IF(COUNTIF(休日設定!$A$2:$A$398,DX$3+6)&gt;0,IF(COUNTIF(休日設定!$A$2:$A$398,DX$3+7)&gt;0,DX$3+8,DX$3+7),DX$3+6),DX$3+5),DX$3+4),DX$3+3),DX$3+2),DX$3+1)</f>
        <v>41129</v>
      </c>
      <c r="DZ3" s="11">
        <f>IF(COUNTIF(休日設定!$A$2:$A$398,DY$3+1)&gt;0,IF(COUNTIF(休日設定!$A$2:$A$398,DY$3+2)&gt;0,IF(COUNTIF(休日設定!$A$2:$A$398,DY$3+3)&gt;0,IF(COUNTIF(休日設定!$A$2:$A$398,DY$3+4)&gt;0,IF(COUNTIF(休日設定!$A$2:$A$398,DY$3+5)&gt;0,IF(COUNTIF(休日設定!$A$2:$A$398,DY$3+6)&gt;0,IF(COUNTIF(休日設定!$A$2:$A$398,DY$3+7)&gt;0,DY$3+8,DY$3+7),DY$3+6),DY$3+5),DY$3+4),DY$3+3),DY$3+2),DY$3+1)</f>
        <v>41130</v>
      </c>
      <c r="EA3" s="11">
        <f>IF(COUNTIF(休日設定!$A$2:$A$398,DZ$3+1)&gt;0,IF(COUNTIF(休日設定!$A$2:$A$398,DZ$3+2)&gt;0,IF(COUNTIF(休日設定!$A$2:$A$398,DZ$3+3)&gt;0,IF(COUNTIF(休日設定!$A$2:$A$398,DZ$3+4)&gt;0,IF(COUNTIF(休日設定!$A$2:$A$398,DZ$3+5)&gt;0,IF(COUNTIF(休日設定!$A$2:$A$398,DZ$3+6)&gt;0,IF(COUNTIF(休日設定!$A$2:$A$398,DZ$3+7)&gt;0,DZ$3+8,DZ$3+7),DZ$3+6),DZ$3+5),DZ$3+4),DZ$3+3),DZ$3+2),DZ$3+1)</f>
        <v>41131</v>
      </c>
      <c r="EB3" s="11">
        <f>IF(COUNTIF(休日設定!$A$2:$A$398,EA$3+1)&gt;0,IF(COUNTIF(休日設定!$A$2:$A$398,EA$3+2)&gt;0,IF(COUNTIF(休日設定!$A$2:$A$398,EA$3+3)&gt;0,IF(COUNTIF(休日設定!$A$2:$A$398,EA$3+4)&gt;0,IF(COUNTIF(休日設定!$A$2:$A$398,EA$3+5)&gt;0,IF(COUNTIF(休日設定!$A$2:$A$398,EA$3+6)&gt;0,IF(COUNTIF(休日設定!$A$2:$A$398,EA$3+7)&gt;0,EA$3+8,EA$3+7),EA$3+6),EA$3+5),EA$3+4),EA$3+3),EA$3+2),EA$3+1)</f>
        <v>41134</v>
      </c>
      <c r="EC3" s="11">
        <f>IF(COUNTIF(休日設定!$A$2:$A$398,EB$3+1)&gt;0,IF(COUNTIF(休日設定!$A$2:$A$398,EB$3+2)&gt;0,IF(COUNTIF(休日設定!$A$2:$A$398,EB$3+3)&gt;0,IF(COUNTIF(休日設定!$A$2:$A$398,EB$3+4)&gt;0,IF(COUNTIF(休日設定!$A$2:$A$398,EB$3+5)&gt;0,IF(COUNTIF(休日設定!$A$2:$A$398,EB$3+6)&gt;0,IF(COUNTIF(休日設定!$A$2:$A$398,EB$3+7)&gt;0,EB$3+8,EB$3+7),EB$3+6),EB$3+5),EB$3+4),EB$3+3),EB$3+2),EB$3+1)</f>
        <v>41135</v>
      </c>
      <c r="ED3" s="11">
        <f>IF(COUNTIF(休日設定!$A$2:$A$398,EC$3+1)&gt;0,IF(COUNTIF(休日設定!$A$2:$A$398,EC$3+2)&gt;0,IF(COUNTIF(休日設定!$A$2:$A$398,EC$3+3)&gt;0,IF(COUNTIF(休日設定!$A$2:$A$398,EC$3+4)&gt;0,IF(COUNTIF(休日設定!$A$2:$A$398,EC$3+5)&gt;0,IF(COUNTIF(休日設定!$A$2:$A$398,EC$3+6)&gt;0,IF(COUNTIF(休日設定!$A$2:$A$398,EC$3+7)&gt;0,EC$3+8,EC$3+7),EC$3+6),EC$3+5),EC$3+4),EC$3+3),EC$3+2),EC$3+1)</f>
        <v>41136</v>
      </c>
      <c r="EE3" s="11">
        <f>IF(COUNTIF(休日設定!$A$2:$A$398,ED$3+1)&gt;0,IF(COUNTIF(休日設定!$A$2:$A$398,ED$3+2)&gt;0,IF(COUNTIF(休日設定!$A$2:$A$398,ED$3+3)&gt;0,IF(COUNTIF(休日設定!$A$2:$A$398,ED$3+4)&gt;0,IF(COUNTIF(休日設定!$A$2:$A$398,ED$3+5)&gt;0,IF(COUNTIF(休日設定!$A$2:$A$398,ED$3+6)&gt;0,IF(COUNTIF(休日設定!$A$2:$A$398,ED$3+7)&gt;0,ED$3+8,ED$3+7),ED$3+6),ED$3+5),ED$3+4),ED$3+3),ED$3+2),ED$3+1)</f>
        <v>41137</v>
      </c>
      <c r="EF3" s="11">
        <f>IF(COUNTIF(休日設定!$A$2:$A$398,EE$3+1)&gt;0,IF(COUNTIF(休日設定!$A$2:$A$398,EE$3+2)&gt;0,IF(COUNTIF(休日設定!$A$2:$A$398,EE$3+3)&gt;0,IF(COUNTIF(休日設定!$A$2:$A$398,EE$3+4)&gt;0,IF(COUNTIF(休日設定!$A$2:$A$398,EE$3+5)&gt;0,IF(COUNTIF(休日設定!$A$2:$A$398,EE$3+6)&gt;0,IF(COUNTIF(休日設定!$A$2:$A$398,EE$3+7)&gt;0,EE$3+8,EE$3+7),EE$3+6),EE$3+5),EE$3+4),EE$3+3),EE$3+2),EE$3+1)</f>
        <v>41138</v>
      </c>
      <c r="EG3" s="11">
        <f>IF(COUNTIF(休日設定!$A$2:$A$398,EF$3+1)&gt;0,IF(COUNTIF(休日設定!$A$2:$A$398,EF$3+2)&gt;0,IF(COUNTIF(休日設定!$A$2:$A$398,EF$3+3)&gt;0,IF(COUNTIF(休日設定!$A$2:$A$398,EF$3+4)&gt;0,IF(COUNTIF(休日設定!$A$2:$A$398,EF$3+5)&gt;0,IF(COUNTIF(休日設定!$A$2:$A$398,EF$3+6)&gt;0,IF(COUNTIF(休日設定!$A$2:$A$398,EF$3+7)&gt;0,EF$3+8,EF$3+7),EF$3+6),EF$3+5),EF$3+4),EF$3+3),EF$3+2),EF$3+1)</f>
        <v>41141</v>
      </c>
      <c r="EH3" s="11">
        <f>IF(COUNTIF(休日設定!$A$2:$A$398,EG$3+1)&gt;0,IF(COUNTIF(休日設定!$A$2:$A$398,EG$3+2)&gt;0,IF(COUNTIF(休日設定!$A$2:$A$398,EG$3+3)&gt;0,IF(COUNTIF(休日設定!$A$2:$A$398,EG$3+4)&gt;0,IF(COUNTIF(休日設定!$A$2:$A$398,EG$3+5)&gt;0,IF(COUNTIF(休日設定!$A$2:$A$398,EG$3+6)&gt;0,IF(COUNTIF(休日設定!$A$2:$A$398,EG$3+7)&gt;0,EG$3+8,EG$3+7),EG$3+6),EG$3+5),EG$3+4),EG$3+3),EG$3+2),EG$3+1)</f>
        <v>41142</v>
      </c>
      <c r="EI3" s="11">
        <f>IF(COUNTIF(休日設定!$A$2:$A$398,EH$3+1)&gt;0,IF(COUNTIF(休日設定!$A$2:$A$398,EH$3+2)&gt;0,IF(COUNTIF(休日設定!$A$2:$A$398,EH$3+3)&gt;0,IF(COUNTIF(休日設定!$A$2:$A$398,EH$3+4)&gt;0,IF(COUNTIF(休日設定!$A$2:$A$398,EH$3+5)&gt;0,IF(COUNTIF(休日設定!$A$2:$A$398,EH$3+6)&gt;0,IF(COUNTIF(休日設定!$A$2:$A$398,EH$3+7)&gt;0,EH$3+8,EH$3+7),EH$3+6),EH$3+5),EH$3+4),EH$3+3),EH$3+2),EH$3+1)</f>
        <v>41143</v>
      </c>
      <c r="EJ3" s="11">
        <f>IF(COUNTIF(休日設定!$A$2:$A$398,EI$3+1)&gt;0,IF(COUNTIF(休日設定!$A$2:$A$398,EI$3+2)&gt;0,IF(COUNTIF(休日設定!$A$2:$A$398,EI$3+3)&gt;0,IF(COUNTIF(休日設定!$A$2:$A$398,EI$3+4)&gt;0,IF(COUNTIF(休日設定!$A$2:$A$398,EI$3+5)&gt;0,IF(COUNTIF(休日設定!$A$2:$A$398,EI$3+6)&gt;0,IF(COUNTIF(休日設定!$A$2:$A$398,EI$3+7)&gt;0,EI$3+8,EI$3+7),EI$3+6),EI$3+5),EI$3+4),EI$3+3),EI$3+2),EI$3+1)</f>
        <v>41144</v>
      </c>
      <c r="EK3" s="11">
        <f>IF(COUNTIF(休日設定!$A$2:$A$398,EJ$3+1)&gt;0,IF(COUNTIF(休日設定!$A$2:$A$398,EJ$3+2)&gt;0,IF(COUNTIF(休日設定!$A$2:$A$398,EJ$3+3)&gt;0,IF(COUNTIF(休日設定!$A$2:$A$398,EJ$3+4)&gt;0,IF(COUNTIF(休日設定!$A$2:$A$398,EJ$3+5)&gt;0,IF(COUNTIF(休日設定!$A$2:$A$398,EJ$3+6)&gt;0,IF(COUNTIF(休日設定!$A$2:$A$398,EJ$3+7)&gt;0,EJ$3+8,EJ$3+7),EJ$3+6),EJ$3+5),EJ$3+4),EJ$3+3),EJ$3+2),EJ$3+1)</f>
        <v>41145</v>
      </c>
      <c r="EL3" s="11">
        <f>IF(COUNTIF(休日設定!$A$2:$A$398,EK$3+1)&gt;0,IF(COUNTIF(休日設定!$A$2:$A$398,EK$3+2)&gt;0,IF(COUNTIF(休日設定!$A$2:$A$398,EK$3+3)&gt;0,IF(COUNTIF(休日設定!$A$2:$A$398,EK$3+4)&gt;0,IF(COUNTIF(休日設定!$A$2:$A$398,EK$3+5)&gt;0,IF(COUNTIF(休日設定!$A$2:$A$398,EK$3+6)&gt;0,IF(COUNTIF(休日設定!$A$2:$A$398,EK$3+7)&gt;0,EK$3+8,EK$3+7),EK$3+6),EK$3+5),EK$3+4),EK$3+3),EK$3+2),EK$3+1)</f>
        <v>41148</v>
      </c>
      <c r="EM3" s="11">
        <f>IF(COUNTIF(休日設定!$A$2:$A$398,EL$3+1)&gt;0,IF(COUNTIF(休日設定!$A$2:$A$398,EL$3+2)&gt;0,IF(COUNTIF(休日設定!$A$2:$A$398,EL$3+3)&gt;0,IF(COUNTIF(休日設定!$A$2:$A$398,EL$3+4)&gt;0,IF(COUNTIF(休日設定!$A$2:$A$398,EL$3+5)&gt;0,IF(COUNTIF(休日設定!$A$2:$A$398,EL$3+6)&gt;0,IF(COUNTIF(休日設定!$A$2:$A$398,EL$3+7)&gt;0,EL$3+8,EL$3+7),EL$3+6),EL$3+5),EL$3+4),EL$3+3),EL$3+2),EL$3+1)</f>
        <v>41149</v>
      </c>
      <c r="EN3" s="11">
        <f>IF(COUNTIF(休日設定!$A$2:$A$398,EM$3+1)&gt;0,IF(COUNTIF(休日設定!$A$2:$A$398,EM$3+2)&gt;0,IF(COUNTIF(休日設定!$A$2:$A$398,EM$3+3)&gt;0,IF(COUNTIF(休日設定!$A$2:$A$398,EM$3+4)&gt;0,IF(COUNTIF(休日設定!$A$2:$A$398,EM$3+5)&gt;0,IF(COUNTIF(休日設定!$A$2:$A$398,EM$3+6)&gt;0,IF(COUNTIF(休日設定!$A$2:$A$398,EM$3+7)&gt;0,EM$3+8,EM$3+7),EM$3+6),EM$3+5),EM$3+4),EM$3+3),EM$3+2),EM$3+1)</f>
        <v>41150</v>
      </c>
      <c r="EO3" s="11">
        <f>IF(COUNTIF(休日設定!$A$2:$A$398,EN$3+1)&gt;0,IF(COUNTIF(休日設定!$A$2:$A$398,EN$3+2)&gt;0,IF(COUNTIF(休日設定!$A$2:$A$398,EN$3+3)&gt;0,IF(COUNTIF(休日設定!$A$2:$A$398,EN$3+4)&gt;0,IF(COUNTIF(休日設定!$A$2:$A$398,EN$3+5)&gt;0,IF(COUNTIF(休日設定!$A$2:$A$398,EN$3+6)&gt;0,IF(COUNTIF(休日設定!$A$2:$A$398,EN$3+7)&gt;0,EN$3+8,EN$3+7),EN$3+6),EN$3+5),EN$3+4),EN$3+3),EN$3+2),EN$3+1)</f>
        <v>41151</v>
      </c>
      <c r="EP3" s="11">
        <f>IF(COUNTIF(休日設定!$A$2:$A$398,EO$3+1)&gt;0,IF(COUNTIF(休日設定!$A$2:$A$398,EO$3+2)&gt;0,IF(COUNTIF(休日設定!$A$2:$A$398,EO$3+3)&gt;0,IF(COUNTIF(休日設定!$A$2:$A$398,EO$3+4)&gt;0,IF(COUNTIF(休日設定!$A$2:$A$398,EO$3+5)&gt;0,IF(COUNTIF(休日設定!$A$2:$A$398,EO$3+6)&gt;0,IF(COUNTIF(休日設定!$A$2:$A$398,EO$3+7)&gt;0,EO$3+8,EO$3+7),EO$3+6),EO$3+5),EO$3+4),EO$3+3),EO$3+2),EO$3+1)</f>
        <v>41152</v>
      </c>
      <c r="EQ3" s="11">
        <f>IF(COUNTIF(休日設定!$A$2:$A$398,EP$3+1)&gt;0,IF(COUNTIF(休日設定!$A$2:$A$398,EP$3+2)&gt;0,IF(COUNTIF(休日設定!$A$2:$A$398,EP$3+3)&gt;0,IF(COUNTIF(休日設定!$A$2:$A$398,EP$3+4)&gt;0,IF(COUNTIF(休日設定!$A$2:$A$398,EP$3+5)&gt;0,IF(COUNTIF(休日設定!$A$2:$A$398,EP$3+6)&gt;0,IF(COUNTIF(休日設定!$A$2:$A$398,EP$3+7)&gt;0,EP$3+8,EP$3+7),EP$3+6),EP$3+5),EP$3+4),EP$3+3),EP$3+2),EP$3+1)</f>
        <v>41155</v>
      </c>
      <c r="ER3" s="11">
        <f>IF(COUNTIF(休日設定!$A$2:$A$398,EQ$3+1)&gt;0,IF(COUNTIF(休日設定!$A$2:$A$398,EQ$3+2)&gt;0,IF(COUNTIF(休日設定!$A$2:$A$398,EQ$3+3)&gt;0,IF(COUNTIF(休日設定!$A$2:$A$398,EQ$3+4)&gt;0,IF(COUNTIF(休日設定!$A$2:$A$398,EQ$3+5)&gt;0,IF(COUNTIF(休日設定!$A$2:$A$398,EQ$3+6)&gt;0,IF(COUNTIF(休日設定!$A$2:$A$398,EQ$3+7)&gt;0,EQ$3+8,EQ$3+7),EQ$3+6),EQ$3+5),EQ$3+4),EQ$3+3),EQ$3+2),EQ$3+1)</f>
        <v>41156</v>
      </c>
      <c r="ES3" s="11">
        <f>IF(COUNTIF(休日設定!$A$2:$A$398,ER$3+1)&gt;0,IF(COUNTIF(休日設定!$A$2:$A$398,ER$3+2)&gt;0,IF(COUNTIF(休日設定!$A$2:$A$398,ER$3+3)&gt;0,IF(COUNTIF(休日設定!$A$2:$A$398,ER$3+4)&gt;0,IF(COUNTIF(休日設定!$A$2:$A$398,ER$3+5)&gt;0,IF(COUNTIF(休日設定!$A$2:$A$398,ER$3+6)&gt;0,IF(COUNTIF(休日設定!$A$2:$A$398,ER$3+7)&gt;0,ER$3+8,ER$3+7),ER$3+6),ER$3+5),ER$3+4),ER$3+3),ER$3+2),ER$3+1)</f>
        <v>41157</v>
      </c>
      <c r="ET3" s="11">
        <f>IF(COUNTIF(休日設定!$A$2:$A$398,ES$3+1)&gt;0,IF(COUNTIF(休日設定!$A$2:$A$398,ES$3+2)&gt;0,IF(COUNTIF(休日設定!$A$2:$A$398,ES$3+3)&gt;0,IF(COUNTIF(休日設定!$A$2:$A$398,ES$3+4)&gt;0,IF(COUNTIF(休日設定!$A$2:$A$398,ES$3+5)&gt;0,IF(COUNTIF(休日設定!$A$2:$A$398,ES$3+6)&gt;0,IF(COUNTIF(休日設定!$A$2:$A$398,ES$3+7)&gt;0,ES$3+8,ES$3+7),ES$3+6),ES$3+5),ES$3+4),ES$3+3),ES$3+2),ES$3+1)</f>
        <v>41158</v>
      </c>
      <c r="EU3" s="11">
        <f>IF(COUNTIF(休日設定!$A$2:$A$398,ET$3+1)&gt;0,IF(COUNTIF(休日設定!$A$2:$A$398,ET$3+2)&gt;0,IF(COUNTIF(休日設定!$A$2:$A$398,ET$3+3)&gt;0,IF(COUNTIF(休日設定!$A$2:$A$398,ET$3+4)&gt;0,IF(COUNTIF(休日設定!$A$2:$A$398,ET$3+5)&gt;0,IF(COUNTIF(休日設定!$A$2:$A$398,ET$3+6)&gt;0,IF(COUNTIF(休日設定!$A$2:$A$398,ET$3+7)&gt;0,ET$3+8,ET$3+7),ET$3+6),ET$3+5),ET$3+4),ET$3+3),ET$3+2),ET$3+1)</f>
        <v>41159</v>
      </c>
      <c r="EV3" s="11">
        <f>IF(COUNTIF(休日設定!$A$2:$A$398,EU$3+1)&gt;0,IF(COUNTIF(休日設定!$A$2:$A$398,EU$3+2)&gt;0,IF(COUNTIF(休日設定!$A$2:$A$398,EU$3+3)&gt;0,IF(COUNTIF(休日設定!$A$2:$A$398,EU$3+4)&gt;0,IF(COUNTIF(休日設定!$A$2:$A$398,EU$3+5)&gt;0,IF(COUNTIF(休日設定!$A$2:$A$398,EU$3+6)&gt;0,IF(COUNTIF(休日設定!$A$2:$A$398,EU$3+7)&gt;0,EU$3+8,EU$3+7),EU$3+6),EU$3+5),EU$3+4),EU$3+3),EU$3+2),EU$3+1)</f>
        <v>41162</v>
      </c>
      <c r="EW3" s="11">
        <f>IF(COUNTIF(休日設定!$A$2:$A$398,EV$3+1)&gt;0,IF(COUNTIF(休日設定!$A$2:$A$398,EV$3+2)&gt;0,IF(COUNTIF(休日設定!$A$2:$A$398,EV$3+3)&gt;0,IF(COUNTIF(休日設定!$A$2:$A$398,EV$3+4)&gt;0,IF(COUNTIF(休日設定!$A$2:$A$398,EV$3+5)&gt;0,IF(COUNTIF(休日設定!$A$2:$A$398,EV$3+6)&gt;0,IF(COUNTIF(休日設定!$A$2:$A$398,EV$3+7)&gt;0,EV$3+8,EV$3+7),EV$3+6),EV$3+5),EV$3+4),EV$3+3),EV$3+2),EV$3+1)</f>
        <v>41163</v>
      </c>
      <c r="EX3" s="11">
        <f>IF(COUNTIF(休日設定!$A$2:$A$398,EW$3+1)&gt;0,IF(COUNTIF(休日設定!$A$2:$A$398,EW$3+2)&gt;0,IF(COUNTIF(休日設定!$A$2:$A$398,EW$3+3)&gt;0,IF(COUNTIF(休日設定!$A$2:$A$398,EW$3+4)&gt;0,IF(COUNTIF(休日設定!$A$2:$A$398,EW$3+5)&gt;0,IF(COUNTIF(休日設定!$A$2:$A$398,EW$3+6)&gt;0,IF(COUNTIF(休日設定!$A$2:$A$398,EW$3+7)&gt;0,EW$3+8,EW$3+7),EW$3+6),EW$3+5),EW$3+4),EW$3+3),EW$3+2),EW$3+1)</f>
        <v>41164</v>
      </c>
      <c r="EY3" s="11">
        <f>IF(COUNTIF(休日設定!$A$2:$A$398,EX$3+1)&gt;0,IF(COUNTIF(休日設定!$A$2:$A$398,EX$3+2)&gt;0,IF(COUNTIF(休日設定!$A$2:$A$398,EX$3+3)&gt;0,IF(COUNTIF(休日設定!$A$2:$A$398,EX$3+4)&gt;0,IF(COUNTIF(休日設定!$A$2:$A$398,EX$3+5)&gt;0,IF(COUNTIF(休日設定!$A$2:$A$398,EX$3+6)&gt;0,IF(COUNTIF(休日設定!$A$2:$A$398,EX$3+7)&gt;0,EX$3+8,EX$3+7),EX$3+6),EX$3+5),EX$3+4),EX$3+3),EX$3+2),EX$3+1)</f>
        <v>41165</v>
      </c>
      <c r="EZ3" s="11">
        <f>IF(COUNTIF(休日設定!$A$2:$A$398,EY$3+1)&gt;0,IF(COUNTIF(休日設定!$A$2:$A$398,EY$3+2)&gt;0,IF(COUNTIF(休日設定!$A$2:$A$398,EY$3+3)&gt;0,IF(COUNTIF(休日設定!$A$2:$A$398,EY$3+4)&gt;0,IF(COUNTIF(休日設定!$A$2:$A$398,EY$3+5)&gt;0,IF(COUNTIF(休日設定!$A$2:$A$398,EY$3+6)&gt;0,IF(COUNTIF(休日設定!$A$2:$A$398,EY$3+7)&gt;0,EY$3+8,EY$3+7),EY$3+6),EY$3+5),EY$3+4),EY$3+3),EY$3+2),EY$3+1)</f>
        <v>41166</v>
      </c>
      <c r="FA3" s="11">
        <f>IF(COUNTIF(休日設定!$A$2:$A$398,EZ$3+1)&gt;0,IF(COUNTIF(休日設定!$A$2:$A$398,EZ$3+2)&gt;0,IF(COUNTIF(休日設定!$A$2:$A$398,EZ$3+3)&gt;0,IF(COUNTIF(休日設定!$A$2:$A$398,EZ$3+4)&gt;0,IF(COUNTIF(休日設定!$A$2:$A$398,EZ$3+5)&gt;0,IF(COUNTIF(休日設定!$A$2:$A$398,EZ$3+6)&gt;0,IF(COUNTIF(休日設定!$A$2:$A$398,EZ$3+7)&gt;0,EZ$3+8,EZ$3+7),EZ$3+6),EZ$3+5),EZ$3+4),EZ$3+3),EZ$3+2),EZ$3+1)</f>
        <v>41169</v>
      </c>
      <c r="FB3" s="11">
        <f>IF(COUNTIF(休日設定!$A$2:$A$398,FA$3+1)&gt;0,IF(COUNTIF(休日設定!$A$2:$A$398,FA$3+2)&gt;0,IF(COUNTIF(休日設定!$A$2:$A$398,FA$3+3)&gt;0,IF(COUNTIF(休日設定!$A$2:$A$398,FA$3+4)&gt;0,IF(COUNTIF(休日設定!$A$2:$A$398,FA$3+5)&gt;0,IF(COUNTIF(休日設定!$A$2:$A$398,FA$3+6)&gt;0,IF(COUNTIF(休日設定!$A$2:$A$398,FA$3+7)&gt;0,FA$3+8,FA$3+7),FA$3+6),FA$3+5),FA$3+4),FA$3+3),FA$3+2),FA$3+1)</f>
        <v>41170</v>
      </c>
      <c r="FC3" s="11">
        <f>IF(COUNTIF(休日設定!$A$2:$A$398,FB$3+1)&gt;0,IF(COUNTIF(休日設定!$A$2:$A$398,FB$3+2)&gt;0,IF(COUNTIF(休日設定!$A$2:$A$398,FB$3+3)&gt;0,IF(COUNTIF(休日設定!$A$2:$A$398,FB$3+4)&gt;0,IF(COUNTIF(休日設定!$A$2:$A$398,FB$3+5)&gt;0,IF(COUNTIF(休日設定!$A$2:$A$398,FB$3+6)&gt;0,IF(COUNTIF(休日設定!$A$2:$A$398,FB$3+7)&gt;0,FB$3+8,FB$3+7),FB$3+6),FB$3+5),FB$3+4),FB$3+3),FB$3+2),FB$3+1)</f>
        <v>41171</v>
      </c>
      <c r="FD3" s="11">
        <f>IF(COUNTIF(休日設定!$A$2:$A$398,FC$3+1)&gt;0,IF(COUNTIF(休日設定!$A$2:$A$398,FC$3+2)&gt;0,IF(COUNTIF(休日設定!$A$2:$A$398,FC$3+3)&gt;0,IF(COUNTIF(休日設定!$A$2:$A$398,FC$3+4)&gt;0,IF(COUNTIF(休日設定!$A$2:$A$398,FC$3+5)&gt;0,IF(COUNTIF(休日設定!$A$2:$A$398,FC$3+6)&gt;0,IF(COUNTIF(休日設定!$A$2:$A$398,FC$3+7)&gt;0,FC$3+8,FC$3+7),FC$3+6),FC$3+5),FC$3+4),FC$3+3),FC$3+2),FC$3+1)</f>
        <v>41172</v>
      </c>
      <c r="FE3" s="11">
        <f>IF(COUNTIF(休日設定!$A$2:$A$398,FD$3+1)&gt;0,IF(COUNTIF(休日設定!$A$2:$A$398,FD$3+2)&gt;0,IF(COUNTIF(休日設定!$A$2:$A$398,FD$3+3)&gt;0,IF(COUNTIF(休日設定!$A$2:$A$398,FD$3+4)&gt;0,IF(COUNTIF(休日設定!$A$2:$A$398,FD$3+5)&gt;0,IF(COUNTIF(休日設定!$A$2:$A$398,FD$3+6)&gt;0,IF(COUNTIF(休日設定!$A$2:$A$398,FD$3+7)&gt;0,FD$3+8,FD$3+7),FD$3+6),FD$3+5),FD$3+4),FD$3+3),FD$3+2),FD$3+1)</f>
        <v>41173</v>
      </c>
      <c r="FF3" s="11">
        <f>IF(COUNTIF(休日設定!$A$2:$A$398,FE$3+1)&gt;0,IF(COUNTIF(休日設定!$A$2:$A$398,FE$3+2)&gt;0,IF(COUNTIF(休日設定!$A$2:$A$398,FE$3+3)&gt;0,IF(COUNTIF(休日設定!$A$2:$A$398,FE$3+4)&gt;0,IF(COUNTIF(休日設定!$A$2:$A$398,FE$3+5)&gt;0,IF(COUNTIF(休日設定!$A$2:$A$398,FE$3+6)&gt;0,IF(COUNTIF(休日設定!$A$2:$A$398,FE$3+7)&gt;0,FE$3+8,FE$3+7),FE$3+6),FE$3+5),FE$3+4),FE$3+3),FE$3+2),FE$3+1)</f>
        <v>41176</v>
      </c>
      <c r="FG3" s="11">
        <f>IF(COUNTIF(休日設定!$A$2:$A$398,FF$3+1)&gt;0,IF(COUNTIF(休日設定!$A$2:$A$398,FF$3+2)&gt;0,IF(COUNTIF(休日設定!$A$2:$A$398,FF$3+3)&gt;0,IF(COUNTIF(休日設定!$A$2:$A$398,FF$3+4)&gt;0,IF(COUNTIF(休日設定!$A$2:$A$398,FF$3+5)&gt;0,IF(COUNTIF(休日設定!$A$2:$A$398,FF$3+6)&gt;0,IF(COUNTIF(休日設定!$A$2:$A$398,FF$3+7)&gt;0,FF$3+8,FF$3+7),FF$3+6),FF$3+5),FF$3+4),FF$3+3),FF$3+2),FF$3+1)</f>
        <v>41177</v>
      </c>
      <c r="FH3" s="11">
        <f>IF(COUNTIF(休日設定!$A$2:$A$398,FG$3+1)&gt;0,IF(COUNTIF(休日設定!$A$2:$A$398,FG$3+2)&gt;0,IF(COUNTIF(休日設定!$A$2:$A$398,FG$3+3)&gt;0,IF(COUNTIF(休日設定!$A$2:$A$398,FG$3+4)&gt;0,IF(COUNTIF(休日設定!$A$2:$A$398,FG$3+5)&gt;0,IF(COUNTIF(休日設定!$A$2:$A$398,FG$3+6)&gt;0,IF(COUNTIF(休日設定!$A$2:$A$398,FG$3+7)&gt;0,FG$3+8,FG$3+7),FG$3+6),FG$3+5),FG$3+4),FG$3+3),FG$3+2),FG$3+1)</f>
        <v>41178</v>
      </c>
      <c r="FI3" s="11">
        <f>IF(COUNTIF(休日設定!$A$2:$A$398,FH$3+1)&gt;0,IF(COUNTIF(休日設定!$A$2:$A$398,FH$3+2)&gt;0,IF(COUNTIF(休日設定!$A$2:$A$398,FH$3+3)&gt;0,IF(COUNTIF(休日設定!$A$2:$A$398,FH$3+4)&gt;0,IF(COUNTIF(休日設定!$A$2:$A$398,FH$3+5)&gt;0,IF(COUNTIF(休日設定!$A$2:$A$398,FH$3+6)&gt;0,IF(COUNTIF(休日設定!$A$2:$A$398,FH$3+7)&gt;0,FH$3+8,FH$3+7),FH$3+6),FH$3+5),FH$3+4),FH$3+3),FH$3+2),FH$3+1)</f>
        <v>41179</v>
      </c>
      <c r="FJ3" s="11">
        <f>IF(COUNTIF(休日設定!$A$2:$A$398,FI$3+1)&gt;0,IF(COUNTIF(休日設定!$A$2:$A$398,FI$3+2)&gt;0,IF(COUNTIF(休日設定!$A$2:$A$398,FI$3+3)&gt;0,IF(COUNTIF(休日設定!$A$2:$A$398,FI$3+4)&gt;0,IF(COUNTIF(休日設定!$A$2:$A$398,FI$3+5)&gt;0,IF(COUNTIF(休日設定!$A$2:$A$398,FI$3+6)&gt;0,IF(COUNTIF(休日設定!$A$2:$A$398,FI$3+7)&gt;0,FI$3+8,FI$3+7),FI$3+6),FI$3+5),FI$3+4),FI$3+3),FI$3+2),FI$3+1)</f>
        <v>41180</v>
      </c>
      <c r="FK3" s="11">
        <f>IF(COUNTIF(休日設定!$A$2:$A$398,FJ$3+1)&gt;0,IF(COUNTIF(休日設定!$A$2:$A$398,FJ$3+2)&gt;0,IF(COUNTIF(休日設定!$A$2:$A$398,FJ$3+3)&gt;0,IF(COUNTIF(休日設定!$A$2:$A$398,FJ$3+4)&gt;0,IF(COUNTIF(休日設定!$A$2:$A$398,FJ$3+5)&gt;0,IF(COUNTIF(休日設定!$A$2:$A$398,FJ$3+6)&gt;0,IF(COUNTIF(休日設定!$A$2:$A$398,FJ$3+7)&gt;0,FJ$3+8,FJ$3+7),FJ$3+6),FJ$3+5),FJ$3+4),FJ$3+3),FJ$3+2),FJ$3+1)</f>
        <v>41183</v>
      </c>
      <c r="FL3" s="11">
        <f>IF(COUNTIF(休日設定!$A$2:$A$398,FK$3+1)&gt;0,IF(COUNTIF(休日設定!$A$2:$A$398,FK$3+2)&gt;0,IF(COUNTIF(休日設定!$A$2:$A$398,FK$3+3)&gt;0,IF(COUNTIF(休日設定!$A$2:$A$398,FK$3+4)&gt;0,IF(COUNTIF(休日設定!$A$2:$A$398,FK$3+5)&gt;0,IF(COUNTIF(休日設定!$A$2:$A$398,FK$3+6)&gt;0,IF(COUNTIF(休日設定!$A$2:$A$398,FK$3+7)&gt;0,FK$3+8,FK$3+7),FK$3+6),FK$3+5),FK$3+4),FK$3+3),FK$3+2),FK$3+1)</f>
        <v>41184</v>
      </c>
      <c r="FM3" s="11">
        <f>IF(COUNTIF(休日設定!$A$2:$A$398,FL$3+1)&gt;0,IF(COUNTIF(休日設定!$A$2:$A$398,FL$3+2)&gt;0,IF(COUNTIF(休日設定!$A$2:$A$398,FL$3+3)&gt;0,IF(COUNTIF(休日設定!$A$2:$A$398,FL$3+4)&gt;0,IF(COUNTIF(休日設定!$A$2:$A$398,FL$3+5)&gt;0,IF(COUNTIF(休日設定!$A$2:$A$398,FL$3+6)&gt;0,IF(COUNTIF(休日設定!$A$2:$A$398,FL$3+7)&gt;0,FL$3+8,FL$3+7),FL$3+6),FL$3+5),FL$3+4),FL$3+3),FL$3+2),FL$3+1)</f>
        <v>41185</v>
      </c>
      <c r="FN3" s="11">
        <f>IF(COUNTIF(休日設定!$A$2:$A$398,FM$3+1)&gt;0,IF(COUNTIF(休日設定!$A$2:$A$398,FM$3+2)&gt;0,IF(COUNTIF(休日設定!$A$2:$A$398,FM$3+3)&gt;0,IF(COUNTIF(休日設定!$A$2:$A$398,FM$3+4)&gt;0,IF(COUNTIF(休日設定!$A$2:$A$398,FM$3+5)&gt;0,IF(COUNTIF(休日設定!$A$2:$A$398,FM$3+6)&gt;0,IF(COUNTIF(休日設定!$A$2:$A$398,FM$3+7)&gt;0,FM$3+8,FM$3+7),FM$3+6),FM$3+5),FM$3+4),FM$3+3),FM$3+2),FM$3+1)</f>
        <v>41186</v>
      </c>
      <c r="FO3" s="11">
        <f>IF(COUNTIF(休日設定!$A$2:$A$398,FN$3+1)&gt;0,IF(COUNTIF(休日設定!$A$2:$A$398,FN$3+2)&gt;0,IF(COUNTIF(休日設定!$A$2:$A$398,FN$3+3)&gt;0,IF(COUNTIF(休日設定!$A$2:$A$398,FN$3+4)&gt;0,IF(COUNTIF(休日設定!$A$2:$A$398,FN$3+5)&gt;0,IF(COUNTIF(休日設定!$A$2:$A$398,FN$3+6)&gt;0,IF(COUNTIF(休日設定!$A$2:$A$398,FN$3+7)&gt;0,FN$3+8,FN$3+7),FN$3+6),FN$3+5),FN$3+4),FN$3+3),FN$3+2),FN$3+1)</f>
        <v>41187</v>
      </c>
      <c r="FP3" s="11">
        <f>IF(COUNTIF(休日設定!$A$2:$A$398,FO$3+1)&gt;0,IF(COUNTIF(休日設定!$A$2:$A$398,FO$3+2)&gt;0,IF(COUNTIF(休日設定!$A$2:$A$398,FO$3+3)&gt;0,IF(COUNTIF(休日設定!$A$2:$A$398,FO$3+4)&gt;0,IF(COUNTIF(休日設定!$A$2:$A$398,FO$3+5)&gt;0,IF(COUNTIF(休日設定!$A$2:$A$398,FO$3+6)&gt;0,IF(COUNTIF(休日設定!$A$2:$A$398,FO$3+7)&gt;0,FO$3+8,FO$3+7),FO$3+6),FO$3+5),FO$3+4),FO$3+3),FO$3+2),FO$3+1)</f>
        <v>41190</v>
      </c>
      <c r="FQ3" s="11">
        <f>IF(COUNTIF(休日設定!$A$2:$A$398,FP$3+1)&gt;0,IF(COUNTIF(休日設定!$A$2:$A$398,FP$3+2)&gt;0,IF(COUNTIF(休日設定!$A$2:$A$398,FP$3+3)&gt;0,IF(COUNTIF(休日設定!$A$2:$A$398,FP$3+4)&gt;0,IF(COUNTIF(休日設定!$A$2:$A$398,FP$3+5)&gt;0,IF(COUNTIF(休日設定!$A$2:$A$398,FP$3+6)&gt;0,IF(COUNTIF(休日設定!$A$2:$A$398,FP$3+7)&gt;0,FP$3+8,FP$3+7),FP$3+6),FP$3+5),FP$3+4),FP$3+3),FP$3+2),FP$3+1)</f>
        <v>41191</v>
      </c>
      <c r="FR3" s="11">
        <f>IF(COUNTIF(休日設定!$A$2:$A$398,FQ$3+1)&gt;0,IF(COUNTIF(休日設定!$A$2:$A$398,FQ$3+2)&gt;0,IF(COUNTIF(休日設定!$A$2:$A$398,FQ$3+3)&gt;0,IF(COUNTIF(休日設定!$A$2:$A$398,FQ$3+4)&gt;0,IF(COUNTIF(休日設定!$A$2:$A$398,FQ$3+5)&gt;0,IF(COUNTIF(休日設定!$A$2:$A$398,FQ$3+6)&gt;0,IF(COUNTIF(休日設定!$A$2:$A$398,FQ$3+7)&gt;0,FQ$3+8,FQ$3+7),FQ$3+6),FQ$3+5),FQ$3+4),FQ$3+3),FQ$3+2),FQ$3+1)</f>
        <v>41192</v>
      </c>
      <c r="FS3" s="11">
        <f>IF(COUNTIF(休日設定!$A$2:$A$398,FR$3+1)&gt;0,IF(COUNTIF(休日設定!$A$2:$A$398,FR$3+2)&gt;0,IF(COUNTIF(休日設定!$A$2:$A$398,FR$3+3)&gt;0,IF(COUNTIF(休日設定!$A$2:$A$398,FR$3+4)&gt;0,IF(COUNTIF(休日設定!$A$2:$A$398,FR$3+5)&gt;0,IF(COUNTIF(休日設定!$A$2:$A$398,FR$3+6)&gt;0,IF(COUNTIF(休日設定!$A$2:$A$398,FR$3+7)&gt;0,FR$3+8,FR$3+7),FR$3+6),FR$3+5),FR$3+4),FR$3+3),FR$3+2),FR$3+1)</f>
        <v>41193</v>
      </c>
      <c r="FT3" s="11">
        <f>IF(COUNTIF(休日設定!$A$2:$A$398,FS$3+1)&gt;0,IF(COUNTIF(休日設定!$A$2:$A$398,FS$3+2)&gt;0,IF(COUNTIF(休日設定!$A$2:$A$398,FS$3+3)&gt;0,IF(COUNTIF(休日設定!$A$2:$A$398,FS$3+4)&gt;0,IF(COUNTIF(休日設定!$A$2:$A$398,FS$3+5)&gt;0,IF(COUNTIF(休日設定!$A$2:$A$398,FS$3+6)&gt;0,IF(COUNTIF(休日設定!$A$2:$A$398,FS$3+7)&gt;0,FS$3+8,FS$3+7),FS$3+6),FS$3+5),FS$3+4),FS$3+3),FS$3+2),FS$3+1)</f>
        <v>41194</v>
      </c>
      <c r="FU3" s="11">
        <f>IF(COUNTIF(休日設定!$A$2:$A$398,FT$3+1)&gt;0,IF(COUNTIF(休日設定!$A$2:$A$398,FT$3+2)&gt;0,IF(COUNTIF(休日設定!$A$2:$A$398,FT$3+3)&gt;0,IF(COUNTIF(休日設定!$A$2:$A$398,FT$3+4)&gt;0,IF(COUNTIF(休日設定!$A$2:$A$398,FT$3+5)&gt;0,IF(COUNTIF(休日設定!$A$2:$A$398,FT$3+6)&gt;0,IF(COUNTIF(休日設定!$A$2:$A$398,FT$3+7)&gt;0,FT$3+8,FT$3+7),FT$3+6),FT$3+5),FT$3+4),FT$3+3),FT$3+2),FT$3+1)</f>
        <v>41197</v>
      </c>
      <c r="FV3" s="11">
        <f>IF(COUNTIF(休日設定!$A$2:$A$398,FU$3+1)&gt;0,IF(COUNTIF(休日設定!$A$2:$A$398,FU$3+2)&gt;0,IF(COUNTIF(休日設定!$A$2:$A$398,FU$3+3)&gt;0,IF(COUNTIF(休日設定!$A$2:$A$398,FU$3+4)&gt;0,IF(COUNTIF(休日設定!$A$2:$A$398,FU$3+5)&gt;0,IF(COUNTIF(休日設定!$A$2:$A$398,FU$3+6)&gt;0,IF(COUNTIF(休日設定!$A$2:$A$398,FU$3+7)&gt;0,FU$3+8,FU$3+7),FU$3+6),FU$3+5),FU$3+4),FU$3+3),FU$3+2),FU$3+1)</f>
        <v>41198</v>
      </c>
      <c r="FW3" s="11">
        <f>IF(COUNTIF(休日設定!$A$2:$A$398,FV$3+1)&gt;0,IF(COUNTIF(休日設定!$A$2:$A$398,FV$3+2)&gt;0,IF(COUNTIF(休日設定!$A$2:$A$398,FV$3+3)&gt;0,IF(COUNTIF(休日設定!$A$2:$A$398,FV$3+4)&gt;0,IF(COUNTIF(休日設定!$A$2:$A$398,FV$3+5)&gt;0,IF(COUNTIF(休日設定!$A$2:$A$398,FV$3+6)&gt;0,IF(COUNTIF(休日設定!$A$2:$A$398,FV$3+7)&gt;0,FV$3+8,FV$3+7),FV$3+6),FV$3+5),FV$3+4),FV$3+3),FV$3+2),FV$3+1)</f>
        <v>41199</v>
      </c>
      <c r="FX3" s="11">
        <f>IF(COUNTIF(休日設定!$A$2:$A$398,FW$3+1)&gt;0,IF(COUNTIF(休日設定!$A$2:$A$398,FW$3+2)&gt;0,IF(COUNTIF(休日設定!$A$2:$A$398,FW$3+3)&gt;0,IF(COUNTIF(休日設定!$A$2:$A$398,FW$3+4)&gt;0,IF(COUNTIF(休日設定!$A$2:$A$398,FW$3+5)&gt;0,IF(COUNTIF(休日設定!$A$2:$A$398,FW$3+6)&gt;0,IF(COUNTIF(休日設定!$A$2:$A$398,FW$3+7)&gt;0,FW$3+8,FW$3+7),FW$3+6),FW$3+5),FW$3+4),FW$3+3),FW$3+2),FW$3+1)</f>
        <v>41200</v>
      </c>
      <c r="FY3" s="11">
        <f>IF(COUNTIF(休日設定!$A$2:$A$398,FX$3+1)&gt;0,IF(COUNTIF(休日設定!$A$2:$A$398,FX$3+2)&gt;0,IF(COUNTIF(休日設定!$A$2:$A$398,FX$3+3)&gt;0,IF(COUNTIF(休日設定!$A$2:$A$398,FX$3+4)&gt;0,IF(COUNTIF(休日設定!$A$2:$A$398,FX$3+5)&gt;0,IF(COUNTIF(休日設定!$A$2:$A$398,FX$3+6)&gt;0,IF(COUNTIF(休日設定!$A$2:$A$398,FX$3+7)&gt;0,FX$3+8,FX$3+7),FX$3+6),FX$3+5),FX$3+4),FX$3+3),FX$3+2),FX$3+1)</f>
        <v>41201</v>
      </c>
      <c r="FZ3" s="11">
        <f>IF(COUNTIF(休日設定!$A$2:$A$398,FY$3+1)&gt;0,IF(COUNTIF(休日設定!$A$2:$A$398,FY$3+2)&gt;0,IF(COUNTIF(休日設定!$A$2:$A$398,FY$3+3)&gt;0,IF(COUNTIF(休日設定!$A$2:$A$398,FY$3+4)&gt;0,IF(COUNTIF(休日設定!$A$2:$A$398,FY$3+5)&gt;0,IF(COUNTIF(休日設定!$A$2:$A$398,FY$3+6)&gt;0,IF(COUNTIF(休日設定!$A$2:$A$398,FY$3+7)&gt;0,FY$3+8,FY$3+7),FY$3+6),FY$3+5),FY$3+4),FY$3+3),FY$3+2),FY$3+1)</f>
        <v>41204</v>
      </c>
      <c r="GA3" s="11">
        <f>IF(COUNTIF(休日設定!$A$2:$A$398,FZ$3+1)&gt;0,IF(COUNTIF(休日設定!$A$2:$A$398,FZ$3+2)&gt;0,IF(COUNTIF(休日設定!$A$2:$A$398,FZ$3+3)&gt;0,IF(COUNTIF(休日設定!$A$2:$A$398,FZ$3+4)&gt;0,IF(COUNTIF(休日設定!$A$2:$A$398,FZ$3+5)&gt;0,IF(COUNTIF(休日設定!$A$2:$A$398,FZ$3+6)&gt;0,IF(COUNTIF(休日設定!$A$2:$A$398,FZ$3+7)&gt;0,FZ$3+8,FZ$3+7),FZ$3+6),FZ$3+5),FZ$3+4),FZ$3+3),FZ$3+2),FZ$3+1)</f>
        <v>41205</v>
      </c>
      <c r="GB3" s="11">
        <f>IF(COUNTIF(休日設定!$A$2:$A$398,GA$3+1)&gt;0,IF(COUNTIF(休日設定!$A$2:$A$398,GA$3+2)&gt;0,IF(COUNTIF(休日設定!$A$2:$A$398,GA$3+3)&gt;0,IF(COUNTIF(休日設定!$A$2:$A$398,GA$3+4)&gt;0,IF(COUNTIF(休日設定!$A$2:$A$398,GA$3+5)&gt;0,IF(COUNTIF(休日設定!$A$2:$A$398,GA$3+6)&gt;0,IF(COUNTIF(休日設定!$A$2:$A$398,GA$3+7)&gt;0,GA$3+8,GA$3+7),GA$3+6),GA$3+5),GA$3+4),GA$3+3),GA$3+2),GA$3+1)</f>
        <v>41206</v>
      </c>
      <c r="GC3" s="11">
        <f>IF(COUNTIF(休日設定!$A$2:$A$398,GB$3+1)&gt;0,IF(COUNTIF(休日設定!$A$2:$A$398,GB$3+2)&gt;0,IF(COUNTIF(休日設定!$A$2:$A$398,GB$3+3)&gt;0,IF(COUNTIF(休日設定!$A$2:$A$398,GB$3+4)&gt;0,IF(COUNTIF(休日設定!$A$2:$A$398,GB$3+5)&gt;0,IF(COUNTIF(休日設定!$A$2:$A$398,GB$3+6)&gt;0,IF(COUNTIF(休日設定!$A$2:$A$398,GB$3+7)&gt;0,GB$3+8,GB$3+7),GB$3+6),GB$3+5),GB$3+4),GB$3+3),GB$3+2),GB$3+1)</f>
        <v>41207</v>
      </c>
      <c r="GD3" s="11">
        <f>IF(COUNTIF(休日設定!$A$2:$A$398,GC$3+1)&gt;0,IF(COUNTIF(休日設定!$A$2:$A$398,GC$3+2)&gt;0,IF(COUNTIF(休日設定!$A$2:$A$398,GC$3+3)&gt;0,IF(COUNTIF(休日設定!$A$2:$A$398,GC$3+4)&gt;0,IF(COUNTIF(休日設定!$A$2:$A$398,GC$3+5)&gt;0,IF(COUNTIF(休日設定!$A$2:$A$398,GC$3+6)&gt;0,IF(COUNTIF(休日設定!$A$2:$A$398,GC$3+7)&gt;0,GC$3+8,GC$3+7),GC$3+6),GC$3+5),GC$3+4),GC$3+3),GC$3+2),GC$3+1)</f>
        <v>41208</v>
      </c>
      <c r="GE3" s="11">
        <f>IF(COUNTIF(休日設定!$A$2:$A$398,GD$3+1)&gt;0,IF(COUNTIF(休日設定!$A$2:$A$398,GD$3+2)&gt;0,IF(COUNTIF(休日設定!$A$2:$A$398,GD$3+3)&gt;0,IF(COUNTIF(休日設定!$A$2:$A$398,GD$3+4)&gt;0,IF(COUNTIF(休日設定!$A$2:$A$398,GD$3+5)&gt;0,IF(COUNTIF(休日設定!$A$2:$A$398,GD$3+6)&gt;0,IF(COUNTIF(休日設定!$A$2:$A$398,GD$3+7)&gt;0,GD$3+8,GD$3+7),GD$3+6),GD$3+5),GD$3+4),GD$3+3),GD$3+2),GD$3+1)</f>
        <v>41211</v>
      </c>
      <c r="GF3" s="11">
        <f>IF(COUNTIF(休日設定!$A$2:$A$398,GE$3+1)&gt;0,IF(COUNTIF(休日設定!$A$2:$A$398,GE$3+2)&gt;0,IF(COUNTIF(休日設定!$A$2:$A$398,GE$3+3)&gt;0,IF(COUNTIF(休日設定!$A$2:$A$398,GE$3+4)&gt;0,IF(COUNTIF(休日設定!$A$2:$A$398,GE$3+5)&gt;0,IF(COUNTIF(休日設定!$A$2:$A$398,GE$3+6)&gt;0,IF(COUNTIF(休日設定!$A$2:$A$398,GE$3+7)&gt;0,GE$3+8,GE$3+7),GE$3+6),GE$3+5),GE$3+4),GE$3+3),GE$3+2),GE$3+1)</f>
        <v>41212</v>
      </c>
      <c r="GG3" s="11">
        <f>IF(COUNTIF(休日設定!$A$2:$A$398,GF$3+1)&gt;0,IF(COUNTIF(休日設定!$A$2:$A$398,GF$3+2)&gt;0,IF(COUNTIF(休日設定!$A$2:$A$398,GF$3+3)&gt;0,IF(COUNTIF(休日設定!$A$2:$A$398,GF$3+4)&gt;0,IF(COUNTIF(休日設定!$A$2:$A$398,GF$3+5)&gt;0,IF(COUNTIF(休日設定!$A$2:$A$398,GF$3+6)&gt;0,IF(COUNTIF(休日設定!$A$2:$A$398,GF$3+7)&gt;0,GF$3+8,GF$3+7),GF$3+6),GF$3+5),GF$3+4),GF$3+3),GF$3+2),GF$3+1)</f>
        <v>41213</v>
      </c>
      <c r="GH3" s="11">
        <f>IF(COUNTIF(休日設定!$A$2:$A$398,GG$3+1)&gt;0,IF(COUNTIF(休日設定!$A$2:$A$398,GG$3+2)&gt;0,IF(COUNTIF(休日設定!$A$2:$A$398,GG$3+3)&gt;0,IF(COUNTIF(休日設定!$A$2:$A$398,GG$3+4)&gt;0,IF(COUNTIF(休日設定!$A$2:$A$398,GG$3+5)&gt;0,IF(COUNTIF(休日設定!$A$2:$A$398,GG$3+6)&gt;0,IF(COUNTIF(休日設定!$A$2:$A$398,GG$3+7)&gt;0,GG$3+8,GG$3+7),GG$3+6),GG$3+5),GG$3+4),GG$3+3),GG$3+2),GG$3+1)</f>
        <v>41214</v>
      </c>
      <c r="GI3" s="11">
        <f>IF(COUNTIF(休日設定!$A$2:$A$398,GH$3+1)&gt;0,IF(COUNTIF(休日設定!$A$2:$A$398,GH$3+2)&gt;0,IF(COUNTIF(休日設定!$A$2:$A$398,GH$3+3)&gt;0,IF(COUNTIF(休日設定!$A$2:$A$398,GH$3+4)&gt;0,IF(COUNTIF(休日設定!$A$2:$A$398,GH$3+5)&gt;0,IF(COUNTIF(休日設定!$A$2:$A$398,GH$3+6)&gt;0,IF(COUNTIF(休日設定!$A$2:$A$398,GH$3+7)&gt;0,GH$3+8,GH$3+7),GH$3+6),GH$3+5),GH$3+4),GH$3+3),GH$3+2),GH$3+1)</f>
        <v>41215</v>
      </c>
      <c r="GJ3" s="11">
        <f>IF(COUNTIF(休日設定!$A$2:$A$398,GI$3+1)&gt;0,IF(COUNTIF(休日設定!$A$2:$A$398,GI$3+2)&gt;0,IF(COUNTIF(休日設定!$A$2:$A$398,GI$3+3)&gt;0,IF(COUNTIF(休日設定!$A$2:$A$398,GI$3+4)&gt;0,IF(COUNTIF(休日設定!$A$2:$A$398,GI$3+5)&gt;0,IF(COUNTIF(休日設定!$A$2:$A$398,GI$3+6)&gt;0,IF(COUNTIF(休日設定!$A$2:$A$398,GI$3+7)&gt;0,GI$3+8,GI$3+7),GI$3+6),GI$3+5),GI$3+4),GI$3+3),GI$3+2),GI$3+1)</f>
        <v>41218</v>
      </c>
      <c r="GK3" s="11">
        <f>IF(COUNTIF(休日設定!$A$2:$A$398,GJ$3+1)&gt;0,IF(COUNTIF(休日設定!$A$2:$A$398,GJ$3+2)&gt;0,IF(COUNTIF(休日設定!$A$2:$A$398,GJ$3+3)&gt;0,IF(COUNTIF(休日設定!$A$2:$A$398,GJ$3+4)&gt;0,IF(COUNTIF(休日設定!$A$2:$A$398,GJ$3+5)&gt;0,IF(COUNTIF(休日設定!$A$2:$A$398,GJ$3+6)&gt;0,IF(COUNTIF(休日設定!$A$2:$A$398,GJ$3+7)&gt;0,GJ$3+8,GJ$3+7),GJ$3+6),GJ$3+5),GJ$3+4),GJ$3+3),GJ$3+2),GJ$3+1)</f>
        <v>41219</v>
      </c>
      <c r="GL3" s="11">
        <f>IF(COUNTIF(休日設定!$A$2:$A$398,GK$3+1)&gt;0,IF(COUNTIF(休日設定!$A$2:$A$398,GK$3+2)&gt;0,IF(COUNTIF(休日設定!$A$2:$A$398,GK$3+3)&gt;0,IF(COUNTIF(休日設定!$A$2:$A$398,GK$3+4)&gt;0,IF(COUNTIF(休日設定!$A$2:$A$398,GK$3+5)&gt;0,IF(COUNTIF(休日設定!$A$2:$A$398,GK$3+6)&gt;0,IF(COUNTIF(休日設定!$A$2:$A$398,GK$3+7)&gt;0,GK$3+8,GK$3+7),GK$3+6),GK$3+5),GK$3+4),GK$3+3),GK$3+2),GK$3+1)</f>
        <v>41220</v>
      </c>
      <c r="GM3" s="11">
        <f>IF(COUNTIF(休日設定!$A$2:$A$398,GL$3+1)&gt;0,IF(COUNTIF(休日設定!$A$2:$A$398,GL$3+2)&gt;0,IF(COUNTIF(休日設定!$A$2:$A$398,GL$3+3)&gt;0,IF(COUNTIF(休日設定!$A$2:$A$398,GL$3+4)&gt;0,IF(COUNTIF(休日設定!$A$2:$A$398,GL$3+5)&gt;0,IF(COUNTIF(休日設定!$A$2:$A$398,GL$3+6)&gt;0,IF(COUNTIF(休日設定!$A$2:$A$398,GL$3+7)&gt;0,GL$3+8,GL$3+7),GL$3+6),GL$3+5),GL$3+4),GL$3+3),GL$3+2),GL$3+1)</f>
        <v>41221</v>
      </c>
      <c r="GN3" s="11">
        <f>IF(COUNTIF(休日設定!$A$2:$A$398,GM$3+1)&gt;0,IF(COUNTIF(休日設定!$A$2:$A$398,GM$3+2)&gt;0,IF(COUNTIF(休日設定!$A$2:$A$398,GM$3+3)&gt;0,IF(COUNTIF(休日設定!$A$2:$A$398,GM$3+4)&gt;0,IF(COUNTIF(休日設定!$A$2:$A$398,GM$3+5)&gt;0,IF(COUNTIF(休日設定!$A$2:$A$398,GM$3+6)&gt;0,IF(COUNTIF(休日設定!$A$2:$A$398,GM$3+7)&gt;0,GM$3+8,GM$3+7),GM$3+6),GM$3+5),GM$3+4),GM$3+3),GM$3+2),GM$3+1)</f>
        <v>41222</v>
      </c>
      <c r="GO3" s="11">
        <f>IF(COUNTIF(休日設定!$A$2:$A$398,GN$3+1)&gt;0,IF(COUNTIF(休日設定!$A$2:$A$398,GN$3+2)&gt;0,IF(COUNTIF(休日設定!$A$2:$A$398,GN$3+3)&gt;0,IF(COUNTIF(休日設定!$A$2:$A$398,GN$3+4)&gt;0,IF(COUNTIF(休日設定!$A$2:$A$398,GN$3+5)&gt;0,IF(COUNTIF(休日設定!$A$2:$A$398,GN$3+6)&gt;0,IF(COUNTIF(休日設定!$A$2:$A$398,GN$3+7)&gt;0,GN$3+8,GN$3+7),GN$3+6),GN$3+5),GN$3+4),GN$3+3),GN$3+2),GN$3+1)</f>
        <v>41225</v>
      </c>
      <c r="GP3" s="11">
        <f>IF(COUNTIF(休日設定!$A$2:$A$398,GO$3+1)&gt;0,IF(COUNTIF(休日設定!$A$2:$A$398,GO$3+2)&gt;0,IF(COUNTIF(休日設定!$A$2:$A$398,GO$3+3)&gt;0,IF(COUNTIF(休日設定!$A$2:$A$398,GO$3+4)&gt;0,IF(COUNTIF(休日設定!$A$2:$A$398,GO$3+5)&gt;0,IF(COUNTIF(休日設定!$A$2:$A$398,GO$3+6)&gt;0,IF(COUNTIF(休日設定!$A$2:$A$398,GO$3+7)&gt;0,GO$3+8,GO$3+7),GO$3+6),GO$3+5),GO$3+4),GO$3+3),GO$3+2),GO$3+1)</f>
        <v>41226</v>
      </c>
      <c r="GQ3" s="11">
        <f>IF(COUNTIF(休日設定!$A$2:$A$398,GP$3+1)&gt;0,IF(COUNTIF(休日設定!$A$2:$A$398,GP$3+2)&gt;0,IF(COUNTIF(休日設定!$A$2:$A$398,GP$3+3)&gt;0,IF(COUNTIF(休日設定!$A$2:$A$398,GP$3+4)&gt;0,IF(COUNTIF(休日設定!$A$2:$A$398,GP$3+5)&gt;0,IF(COUNTIF(休日設定!$A$2:$A$398,GP$3+6)&gt;0,IF(COUNTIF(休日設定!$A$2:$A$398,GP$3+7)&gt;0,GP$3+8,GP$3+7),GP$3+6),GP$3+5),GP$3+4),GP$3+3),GP$3+2),GP$3+1)</f>
        <v>41227</v>
      </c>
      <c r="GR3" s="11">
        <f>IF(COUNTIF(休日設定!$A$2:$A$398,GQ$3+1)&gt;0,IF(COUNTIF(休日設定!$A$2:$A$398,GQ$3+2)&gt;0,IF(COUNTIF(休日設定!$A$2:$A$398,GQ$3+3)&gt;0,IF(COUNTIF(休日設定!$A$2:$A$398,GQ$3+4)&gt;0,IF(COUNTIF(休日設定!$A$2:$A$398,GQ$3+5)&gt;0,IF(COUNTIF(休日設定!$A$2:$A$398,GQ$3+6)&gt;0,IF(COUNTIF(休日設定!$A$2:$A$398,GQ$3+7)&gt;0,GQ$3+8,GQ$3+7),GQ$3+6),GQ$3+5),GQ$3+4),GQ$3+3),GQ$3+2),GQ$3+1)</f>
        <v>41228</v>
      </c>
      <c r="GS3" s="11">
        <f>IF(COUNTIF(休日設定!$A$2:$A$398,GR$3+1)&gt;0,IF(COUNTIF(休日設定!$A$2:$A$398,GR$3+2)&gt;0,IF(COUNTIF(休日設定!$A$2:$A$398,GR$3+3)&gt;0,IF(COUNTIF(休日設定!$A$2:$A$398,GR$3+4)&gt;0,IF(COUNTIF(休日設定!$A$2:$A$398,GR$3+5)&gt;0,IF(COUNTIF(休日設定!$A$2:$A$398,GR$3+6)&gt;0,IF(COUNTIF(休日設定!$A$2:$A$398,GR$3+7)&gt;0,GR$3+8,GR$3+7),GR$3+6),GR$3+5),GR$3+4),GR$3+3),GR$3+2),GR$3+1)</f>
        <v>41229</v>
      </c>
      <c r="GT3" s="11">
        <f>IF(COUNTIF(休日設定!$A$2:$A$398,GS$3+1)&gt;0,IF(COUNTIF(休日設定!$A$2:$A$398,GS$3+2)&gt;0,IF(COUNTIF(休日設定!$A$2:$A$398,GS$3+3)&gt;0,IF(COUNTIF(休日設定!$A$2:$A$398,GS$3+4)&gt;0,IF(COUNTIF(休日設定!$A$2:$A$398,GS$3+5)&gt;0,IF(COUNTIF(休日設定!$A$2:$A$398,GS$3+6)&gt;0,IF(COUNTIF(休日設定!$A$2:$A$398,GS$3+7)&gt;0,GS$3+8,GS$3+7),GS$3+6),GS$3+5),GS$3+4),GS$3+3),GS$3+2),GS$3+1)</f>
        <v>41232</v>
      </c>
      <c r="GU3" s="11">
        <f>IF(COUNTIF(休日設定!$A$2:$A$398,GT$3+1)&gt;0,IF(COUNTIF(休日設定!$A$2:$A$398,GT$3+2)&gt;0,IF(COUNTIF(休日設定!$A$2:$A$398,GT$3+3)&gt;0,IF(COUNTIF(休日設定!$A$2:$A$398,GT$3+4)&gt;0,IF(COUNTIF(休日設定!$A$2:$A$398,GT$3+5)&gt;0,IF(COUNTIF(休日設定!$A$2:$A$398,GT$3+6)&gt;0,IF(COUNTIF(休日設定!$A$2:$A$398,GT$3+7)&gt;0,GT$3+8,GT$3+7),GT$3+6),GT$3+5),GT$3+4),GT$3+3),GT$3+2),GT$3+1)</f>
        <v>41233</v>
      </c>
      <c r="GV3" s="11">
        <f>IF(COUNTIF(休日設定!$A$2:$A$398,GU$3+1)&gt;0,IF(COUNTIF(休日設定!$A$2:$A$398,GU$3+2)&gt;0,IF(COUNTIF(休日設定!$A$2:$A$398,GU$3+3)&gt;0,IF(COUNTIF(休日設定!$A$2:$A$398,GU$3+4)&gt;0,IF(COUNTIF(休日設定!$A$2:$A$398,GU$3+5)&gt;0,IF(COUNTIF(休日設定!$A$2:$A$398,GU$3+6)&gt;0,IF(COUNTIF(休日設定!$A$2:$A$398,GU$3+7)&gt;0,GU$3+8,GU$3+7),GU$3+6),GU$3+5),GU$3+4),GU$3+3),GU$3+2),GU$3+1)</f>
        <v>41234</v>
      </c>
      <c r="GW3" s="11">
        <f>IF(COUNTIF(休日設定!$A$2:$A$398,GV$3+1)&gt;0,IF(COUNTIF(休日設定!$A$2:$A$398,GV$3+2)&gt;0,IF(COUNTIF(休日設定!$A$2:$A$398,GV$3+3)&gt;0,IF(COUNTIF(休日設定!$A$2:$A$398,GV$3+4)&gt;0,IF(COUNTIF(休日設定!$A$2:$A$398,GV$3+5)&gt;0,IF(COUNTIF(休日設定!$A$2:$A$398,GV$3+6)&gt;0,IF(COUNTIF(休日設定!$A$2:$A$398,GV$3+7)&gt;0,GV$3+8,GV$3+7),GV$3+6),GV$3+5),GV$3+4),GV$3+3),GV$3+2),GV$3+1)</f>
        <v>41235</v>
      </c>
      <c r="GX3" s="11">
        <f>IF(COUNTIF(休日設定!$A$2:$A$398,GW$3+1)&gt;0,IF(COUNTIF(休日設定!$A$2:$A$398,GW$3+2)&gt;0,IF(COUNTIF(休日設定!$A$2:$A$398,GW$3+3)&gt;0,IF(COUNTIF(休日設定!$A$2:$A$398,GW$3+4)&gt;0,IF(COUNTIF(休日設定!$A$2:$A$398,GW$3+5)&gt;0,IF(COUNTIF(休日設定!$A$2:$A$398,GW$3+6)&gt;0,IF(COUNTIF(休日設定!$A$2:$A$398,GW$3+7)&gt;0,GW$3+8,GW$3+7),GW$3+6),GW$3+5),GW$3+4),GW$3+3),GW$3+2),GW$3+1)</f>
        <v>41236</v>
      </c>
      <c r="GY3" s="11">
        <f>IF(COUNTIF(休日設定!$A$2:$A$398,GX$3+1)&gt;0,IF(COUNTIF(休日設定!$A$2:$A$398,GX$3+2)&gt;0,IF(COUNTIF(休日設定!$A$2:$A$398,GX$3+3)&gt;0,IF(COUNTIF(休日設定!$A$2:$A$398,GX$3+4)&gt;0,IF(COUNTIF(休日設定!$A$2:$A$398,GX$3+5)&gt;0,IF(COUNTIF(休日設定!$A$2:$A$398,GX$3+6)&gt;0,IF(COUNTIF(休日設定!$A$2:$A$398,GX$3+7)&gt;0,GX$3+8,GX$3+7),GX$3+6),GX$3+5),GX$3+4),GX$3+3),GX$3+2),GX$3+1)</f>
        <v>41239</v>
      </c>
      <c r="GZ3" s="11">
        <f>IF(COUNTIF(休日設定!$A$2:$A$398,GY$3+1)&gt;0,IF(COUNTIF(休日設定!$A$2:$A$398,GY$3+2)&gt;0,IF(COUNTIF(休日設定!$A$2:$A$398,GY$3+3)&gt;0,IF(COUNTIF(休日設定!$A$2:$A$398,GY$3+4)&gt;0,IF(COUNTIF(休日設定!$A$2:$A$398,GY$3+5)&gt;0,IF(COUNTIF(休日設定!$A$2:$A$398,GY$3+6)&gt;0,IF(COUNTIF(休日設定!$A$2:$A$398,GY$3+7)&gt;0,GY$3+8,GY$3+7),GY$3+6),GY$3+5),GY$3+4),GY$3+3),GY$3+2),GY$3+1)</f>
        <v>41240</v>
      </c>
      <c r="HA3" s="11">
        <f>IF(COUNTIF(休日設定!$A$2:$A$398,GZ$3+1)&gt;0,IF(COUNTIF(休日設定!$A$2:$A$398,GZ$3+2)&gt;0,IF(COUNTIF(休日設定!$A$2:$A$398,GZ$3+3)&gt;0,IF(COUNTIF(休日設定!$A$2:$A$398,GZ$3+4)&gt;0,IF(COUNTIF(休日設定!$A$2:$A$398,GZ$3+5)&gt;0,IF(COUNTIF(休日設定!$A$2:$A$398,GZ$3+6)&gt;0,IF(COUNTIF(休日設定!$A$2:$A$398,GZ$3+7)&gt;0,GZ$3+8,GZ$3+7),GZ$3+6),GZ$3+5),GZ$3+4),GZ$3+3),GZ$3+2),GZ$3+1)</f>
        <v>41241</v>
      </c>
      <c r="HB3" s="11">
        <f>IF(COUNTIF(休日設定!$A$2:$A$398,HA$3+1)&gt;0,IF(COUNTIF(休日設定!$A$2:$A$398,HA$3+2)&gt;0,IF(COUNTIF(休日設定!$A$2:$A$398,HA$3+3)&gt;0,IF(COUNTIF(休日設定!$A$2:$A$398,HA$3+4)&gt;0,IF(COUNTIF(休日設定!$A$2:$A$398,HA$3+5)&gt;0,IF(COUNTIF(休日設定!$A$2:$A$398,HA$3+6)&gt;0,IF(COUNTIF(休日設定!$A$2:$A$398,HA$3+7)&gt;0,HA$3+8,HA$3+7),HA$3+6),HA$3+5),HA$3+4),HA$3+3),HA$3+2),HA$3+1)</f>
        <v>41242</v>
      </c>
      <c r="HC3" s="11">
        <f>IF(COUNTIF(休日設定!$A$2:$A$398,HB$3+1)&gt;0,IF(COUNTIF(休日設定!$A$2:$A$398,HB$3+2)&gt;0,IF(COUNTIF(休日設定!$A$2:$A$398,HB$3+3)&gt;0,IF(COUNTIF(休日設定!$A$2:$A$398,HB$3+4)&gt;0,IF(COUNTIF(休日設定!$A$2:$A$398,HB$3+5)&gt;0,IF(COUNTIF(休日設定!$A$2:$A$398,HB$3+6)&gt;0,IF(COUNTIF(休日設定!$A$2:$A$398,HB$3+7)&gt;0,HB$3+8,HB$3+7),HB$3+6),HB$3+5),HB$3+4),HB$3+3),HB$3+2),HB$3+1)</f>
        <v>41243</v>
      </c>
    </row>
    <row r="4" spans="1:211" s="13" customFormat="1" ht="13.5" customHeight="1">
      <c r="A4" s="165"/>
      <c r="B4" s="175"/>
      <c r="C4" s="176"/>
      <c r="D4" s="176"/>
      <c r="E4" s="176"/>
      <c r="F4" s="177"/>
      <c r="G4" s="150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2"/>
      <c r="T4" s="75" t="s">
        <v>13</v>
      </c>
      <c r="U4" s="75" t="s">
        <v>14</v>
      </c>
      <c r="V4" s="48" t="s">
        <v>15</v>
      </c>
      <c r="W4" s="49" t="s">
        <v>12</v>
      </c>
      <c r="X4" s="47" t="s">
        <v>13</v>
      </c>
      <c r="Y4" s="47" t="s">
        <v>14</v>
      </c>
      <c r="Z4" s="48" t="s">
        <v>15</v>
      </c>
      <c r="AA4" s="50" t="s">
        <v>37</v>
      </c>
      <c r="AB4" s="163"/>
      <c r="AC4" s="12">
        <f t="shared" ref="AC4:CP4" si="10">AC$3</f>
        <v>41001</v>
      </c>
      <c r="AD4" s="13">
        <f t="shared" si="10"/>
        <v>41002</v>
      </c>
      <c r="AE4" s="13">
        <f t="shared" si="10"/>
        <v>41003</v>
      </c>
      <c r="AF4" s="13">
        <f t="shared" si="10"/>
        <v>41004</v>
      </c>
      <c r="AG4" s="13">
        <f t="shared" si="10"/>
        <v>41005</v>
      </c>
      <c r="AH4" s="13">
        <f t="shared" si="10"/>
        <v>41006</v>
      </c>
      <c r="AI4" s="13">
        <f t="shared" si="10"/>
        <v>41007</v>
      </c>
      <c r="AJ4" s="13">
        <f t="shared" si="10"/>
        <v>41008</v>
      </c>
      <c r="AK4" s="13">
        <f t="shared" si="10"/>
        <v>41009</v>
      </c>
      <c r="AL4" s="13">
        <f t="shared" si="10"/>
        <v>41010</v>
      </c>
      <c r="AM4" s="13">
        <f t="shared" si="10"/>
        <v>41011</v>
      </c>
      <c r="AN4" s="13">
        <f t="shared" si="10"/>
        <v>41012</v>
      </c>
      <c r="AO4" s="13">
        <f t="shared" si="10"/>
        <v>41013</v>
      </c>
      <c r="AP4" s="13">
        <f t="shared" si="10"/>
        <v>41014</v>
      </c>
      <c r="AQ4" s="13">
        <f t="shared" si="10"/>
        <v>41015</v>
      </c>
      <c r="AR4" s="13">
        <f t="shared" si="10"/>
        <v>41016</v>
      </c>
      <c r="AS4" s="13">
        <f t="shared" si="10"/>
        <v>41017</v>
      </c>
      <c r="AT4" s="13">
        <f t="shared" si="10"/>
        <v>41018</v>
      </c>
      <c r="AU4" s="13">
        <f t="shared" si="10"/>
        <v>41019</v>
      </c>
      <c r="AV4" s="13">
        <f t="shared" si="10"/>
        <v>41020</v>
      </c>
      <c r="AW4" s="13">
        <f t="shared" si="10"/>
        <v>41021</v>
      </c>
      <c r="AX4" s="13">
        <f t="shared" si="10"/>
        <v>41022</v>
      </c>
      <c r="AY4" s="13">
        <f t="shared" si="10"/>
        <v>41023</v>
      </c>
      <c r="AZ4" s="13">
        <f t="shared" si="10"/>
        <v>41024</v>
      </c>
      <c r="BA4" s="13">
        <f t="shared" si="10"/>
        <v>41025</v>
      </c>
      <c r="BB4" s="13">
        <f t="shared" si="10"/>
        <v>41026</v>
      </c>
      <c r="BC4" s="13">
        <f t="shared" si="10"/>
        <v>41027</v>
      </c>
      <c r="BD4" s="13">
        <f t="shared" si="10"/>
        <v>41028</v>
      </c>
      <c r="BE4" s="13">
        <f t="shared" si="10"/>
        <v>41029</v>
      </c>
      <c r="BF4" s="13">
        <f t="shared" si="10"/>
        <v>41030</v>
      </c>
      <c r="BG4" s="13">
        <f t="shared" si="10"/>
        <v>41031</v>
      </c>
      <c r="BH4" s="13">
        <f t="shared" si="10"/>
        <v>41032</v>
      </c>
      <c r="BI4" s="13">
        <f t="shared" si="10"/>
        <v>41033</v>
      </c>
      <c r="BJ4" s="13">
        <f t="shared" si="10"/>
        <v>41036</v>
      </c>
      <c r="BK4" s="13">
        <f t="shared" si="10"/>
        <v>41037</v>
      </c>
      <c r="BL4" s="13">
        <f t="shared" si="10"/>
        <v>41038</v>
      </c>
      <c r="BM4" s="13">
        <f t="shared" si="10"/>
        <v>41039</v>
      </c>
      <c r="BN4" s="13">
        <f t="shared" si="10"/>
        <v>41040</v>
      </c>
      <c r="BO4" s="13">
        <f t="shared" si="10"/>
        <v>41043</v>
      </c>
      <c r="BP4" s="13">
        <f t="shared" si="10"/>
        <v>41044</v>
      </c>
      <c r="BQ4" s="13">
        <f t="shared" si="10"/>
        <v>41045</v>
      </c>
      <c r="BR4" s="13">
        <f t="shared" si="10"/>
        <v>41046</v>
      </c>
      <c r="BS4" s="13">
        <f t="shared" si="10"/>
        <v>41047</v>
      </c>
      <c r="BT4" s="13">
        <f t="shared" si="10"/>
        <v>41050</v>
      </c>
      <c r="BU4" s="13">
        <f t="shared" si="10"/>
        <v>41051</v>
      </c>
      <c r="BV4" s="13">
        <f t="shared" si="10"/>
        <v>41052</v>
      </c>
      <c r="BW4" s="13">
        <f t="shared" si="10"/>
        <v>41053</v>
      </c>
      <c r="BX4" s="13">
        <f t="shared" si="10"/>
        <v>41054</v>
      </c>
      <c r="BY4" s="13">
        <f t="shared" si="10"/>
        <v>41057</v>
      </c>
      <c r="BZ4" s="13">
        <f t="shared" si="10"/>
        <v>41058</v>
      </c>
      <c r="CA4" s="13">
        <f t="shared" si="10"/>
        <v>41059</v>
      </c>
      <c r="CB4" s="13">
        <f t="shared" si="10"/>
        <v>41060</v>
      </c>
      <c r="CC4" s="13">
        <f t="shared" si="10"/>
        <v>41061</v>
      </c>
      <c r="CD4" s="13">
        <f t="shared" si="10"/>
        <v>41064</v>
      </c>
      <c r="CE4" s="13">
        <f t="shared" si="10"/>
        <v>41065</v>
      </c>
      <c r="CF4" s="13">
        <f t="shared" si="10"/>
        <v>41066</v>
      </c>
      <c r="CG4" s="13">
        <f t="shared" si="10"/>
        <v>41067</v>
      </c>
      <c r="CH4" s="13">
        <f t="shared" si="10"/>
        <v>41068</v>
      </c>
      <c r="CI4" s="13">
        <f t="shared" si="10"/>
        <v>41071</v>
      </c>
      <c r="CJ4" s="13">
        <f t="shared" si="10"/>
        <v>41072</v>
      </c>
      <c r="CK4" s="13">
        <f t="shared" si="10"/>
        <v>41073</v>
      </c>
      <c r="CL4" s="13">
        <f t="shared" si="10"/>
        <v>41074</v>
      </c>
      <c r="CM4" s="13">
        <f t="shared" si="10"/>
        <v>41075</v>
      </c>
      <c r="CN4" s="13">
        <f t="shared" si="10"/>
        <v>41078</v>
      </c>
      <c r="CO4" s="13">
        <f t="shared" si="10"/>
        <v>41079</v>
      </c>
      <c r="CP4" s="13">
        <f t="shared" si="10"/>
        <v>41080</v>
      </c>
      <c r="CQ4" s="13">
        <f t="shared" ref="CQ4:FB4" si="11">CQ$3</f>
        <v>41081</v>
      </c>
      <c r="CR4" s="13">
        <f t="shared" si="11"/>
        <v>41082</v>
      </c>
      <c r="CS4" s="13">
        <f t="shared" si="11"/>
        <v>41085</v>
      </c>
      <c r="CT4" s="13">
        <f t="shared" si="11"/>
        <v>41086</v>
      </c>
      <c r="CU4" s="13">
        <f t="shared" si="11"/>
        <v>41087</v>
      </c>
      <c r="CV4" s="13">
        <f t="shared" si="11"/>
        <v>41088</v>
      </c>
      <c r="CW4" s="13">
        <f t="shared" si="11"/>
        <v>41089</v>
      </c>
      <c r="CX4" s="13">
        <f t="shared" si="11"/>
        <v>41092</v>
      </c>
      <c r="CY4" s="13">
        <f t="shared" si="11"/>
        <v>41093</v>
      </c>
      <c r="CZ4" s="13">
        <f t="shared" si="11"/>
        <v>41094</v>
      </c>
      <c r="DA4" s="13">
        <f t="shared" si="11"/>
        <v>41095</v>
      </c>
      <c r="DB4" s="13">
        <f t="shared" si="11"/>
        <v>41096</v>
      </c>
      <c r="DC4" s="13">
        <f t="shared" si="11"/>
        <v>41099</v>
      </c>
      <c r="DD4" s="13">
        <f t="shared" si="11"/>
        <v>41100</v>
      </c>
      <c r="DE4" s="13">
        <f t="shared" si="11"/>
        <v>41101</v>
      </c>
      <c r="DF4" s="13">
        <f t="shared" si="11"/>
        <v>41102</v>
      </c>
      <c r="DG4" s="13">
        <f t="shared" si="11"/>
        <v>41103</v>
      </c>
      <c r="DH4" s="13">
        <f t="shared" si="11"/>
        <v>41106</v>
      </c>
      <c r="DI4" s="13">
        <f t="shared" si="11"/>
        <v>41107</v>
      </c>
      <c r="DJ4" s="13">
        <f t="shared" si="11"/>
        <v>41108</v>
      </c>
      <c r="DK4" s="13">
        <f t="shared" si="11"/>
        <v>41109</v>
      </c>
      <c r="DL4" s="13">
        <f t="shared" si="11"/>
        <v>41110</v>
      </c>
      <c r="DM4" s="13">
        <f t="shared" si="11"/>
        <v>41113</v>
      </c>
      <c r="DN4" s="13">
        <f t="shared" si="11"/>
        <v>41114</v>
      </c>
      <c r="DO4" s="13">
        <f t="shared" si="11"/>
        <v>41115</v>
      </c>
      <c r="DP4" s="13">
        <f t="shared" si="11"/>
        <v>41116</v>
      </c>
      <c r="DQ4" s="13">
        <f t="shared" si="11"/>
        <v>41117</v>
      </c>
      <c r="DR4" s="13">
        <f t="shared" si="11"/>
        <v>41120</v>
      </c>
      <c r="DS4" s="13">
        <f t="shared" si="11"/>
        <v>41121</v>
      </c>
      <c r="DT4" s="13">
        <f t="shared" si="11"/>
        <v>41122</v>
      </c>
      <c r="DU4" s="13">
        <f t="shared" si="11"/>
        <v>41123</v>
      </c>
      <c r="DV4" s="13">
        <f t="shared" si="11"/>
        <v>41124</v>
      </c>
      <c r="DW4" s="13">
        <f t="shared" si="11"/>
        <v>41127</v>
      </c>
      <c r="DX4" s="13">
        <f t="shared" si="11"/>
        <v>41128</v>
      </c>
      <c r="DY4" s="13">
        <f t="shared" si="11"/>
        <v>41129</v>
      </c>
      <c r="DZ4" s="13">
        <f t="shared" si="11"/>
        <v>41130</v>
      </c>
      <c r="EA4" s="13">
        <f t="shared" si="11"/>
        <v>41131</v>
      </c>
      <c r="EB4" s="13">
        <f t="shared" si="11"/>
        <v>41134</v>
      </c>
      <c r="EC4" s="13">
        <f t="shared" si="11"/>
        <v>41135</v>
      </c>
      <c r="ED4" s="13">
        <f t="shared" si="11"/>
        <v>41136</v>
      </c>
      <c r="EE4" s="13">
        <f t="shared" si="11"/>
        <v>41137</v>
      </c>
      <c r="EF4" s="13">
        <f t="shared" si="11"/>
        <v>41138</v>
      </c>
      <c r="EG4" s="13">
        <f t="shared" si="11"/>
        <v>41141</v>
      </c>
      <c r="EH4" s="13">
        <f t="shared" si="11"/>
        <v>41142</v>
      </c>
      <c r="EI4" s="13">
        <f t="shared" si="11"/>
        <v>41143</v>
      </c>
      <c r="EJ4" s="13">
        <f t="shared" si="11"/>
        <v>41144</v>
      </c>
      <c r="EK4" s="13">
        <f t="shared" si="11"/>
        <v>41145</v>
      </c>
      <c r="EL4" s="13">
        <f t="shared" si="11"/>
        <v>41148</v>
      </c>
      <c r="EM4" s="13">
        <f t="shared" si="11"/>
        <v>41149</v>
      </c>
      <c r="EN4" s="13">
        <f t="shared" si="11"/>
        <v>41150</v>
      </c>
      <c r="EO4" s="13">
        <f t="shared" si="11"/>
        <v>41151</v>
      </c>
      <c r="EP4" s="13">
        <f t="shared" si="11"/>
        <v>41152</v>
      </c>
      <c r="EQ4" s="13">
        <f t="shared" si="11"/>
        <v>41155</v>
      </c>
      <c r="ER4" s="13">
        <f t="shared" si="11"/>
        <v>41156</v>
      </c>
      <c r="ES4" s="13">
        <f t="shared" si="11"/>
        <v>41157</v>
      </c>
      <c r="ET4" s="13">
        <f t="shared" si="11"/>
        <v>41158</v>
      </c>
      <c r="EU4" s="13">
        <f t="shared" si="11"/>
        <v>41159</v>
      </c>
      <c r="EV4" s="13">
        <f t="shared" si="11"/>
        <v>41162</v>
      </c>
      <c r="EW4" s="13">
        <f t="shared" si="11"/>
        <v>41163</v>
      </c>
      <c r="EX4" s="13">
        <f t="shared" si="11"/>
        <v>41164</v>
      </c>
      <c r="EY4" s="13">
        <f t="shared" si="11"/>
        <v>41165</v>
      </c>
      <c r="EZ4" s="13">
        <f t="shared" si="11"/>
        <v>41166</v>
      </c>
      <c r="FA4" s="13">
        <f t="shared" si="11"/>
        <v>41169</v>
      </c>
      <c r="FB4" s="13">
        <f t="shared" si="11"/>
        <v>41170</v>
      </c>
      <c r="FC4" s="13">
        <f t="shared" ref="FC4:HC4" si="12">FC$3</f>
        <v>41171</v>
      </c>
      <c r="FD4" s="13">
        <f t="shared" si="12"/>
        <v>41172</v>
      </c>
      <c r="FE4" s="13">
        <f t="shared" si="12"/>
        <v>41173</v>
      </c>
      <c r="FF4" s="13">
        <f t="shared" si="12"/>
        <v>41176</v>
      </c>
      <c r="FG4" s="13">
        <f t="shared" si="12"/>
        <v>41177</v>
      </c>
      <c r="FH4" s="13">
        <f t="shared" si="12"/>
        <v>41178</v>
      </c>
      <c r="FI4" s="13">
        <f t="shared" si="12"/>
        <v>41179</v>
      </c>
      <c r="FJ4" s="13">
        <f t="shared" si="12"/>
        <v>41180</v>
      </c>
      <c r="FK4" s="13">
        <f t="shared" si="12"/>
        <v>41183</v>
      </c>
      <c r="FL4" s="13">
        <f t="shared" si="12"/>
        <v>41184</v>
      </c>
      <c r="FM4" s="13">
        <f t="shared" si="12"/>
        <v>41185</v>
      </c>
      <c r="FN4" s="13">
        <f t="shared" si="12"/>
        <v>41186</v>
      </c>
      <c r="FO4" s="13">
        <f t="shared" si="12"/>
        <v>41187</v>
      </c>
      <c r="FP4" s="13">
        <f t="shared" si="12"/>
        <v>41190</v>
      </c>
      <c r="FQ4" s="13">
        <f t="shared" si="12"/>
        <v>41191</v>
      </c>
      <c r="FR4" s="13">
        <f t="shared" si="12"/>
        <v>41192</v>
      </c>
      <c r="FS4" s="13">
        <f t="shared" si="12"/>
        <v>41193</v>
      </c>
      <c r="FT4" s="13">
        <f t="shared" si="12"/>
        <v>41194</v>
      </c>
      <c r="FU4" s="13">
        <f t="shared" si="12"/>
        <v>41197</v>
      </c>
      <c r="FV4" s="13">
        <f t="shared" si="12"/>
        <v>41198</v>
      </c>
      <c r="FW4" s="13">
        <f t="shared" si="12"/>
        <v>41199</v>
      </c>
      <c r="FX4" s="13">
        <f t="shared" si="12"/>
        <v>41200</v>
      </c>
      <c r="FY4" s="13">
        <f t="shared" si="12"/>
        <v>41201</v>
      </c>
      <c r="FZ4" s="13">
        <f t="shared" si="12"/>
        <v>41204</v>
      </c>
      <c r="GA4" s="13">
        <f t="shared" si="12"/>
        <v>41205</v>
      </c>
      <c r="GB4" s="13">
        <f t="shared" si="12"/>
        <v>41206</v>
      </c>
      <c r="GC4" s="13">
        <f t="shared" si="12"/>
        <v>41207</v>
      </c>
      <c r="GD4" s="13">
        <f t="shared" si="12"/>
        <v>41208</v>
      </c>
      <c r="GE4" s="13">
        <f t="shared" si="12"/>
        <v>41211</v>
      </c>
      <c r="GF4" s="13">
        <f t="shared" si="12"/>
        <v>41212</v>
      </c>
      <c r="GG4" s="13">
        <f t="shared" si="12"/>
        <v>41213</v>
      </c>
      <c r="GH4" s="13">
        <f t="shared" si="12"/>
        <v>41214</v>
      </c>
      <c r="GI4" s="13">
        <f t="shared" si="12"/>
        <v>41215</v>
      </c>
      <c r="GJ4" s="13">
        <f t="shared" si="12"/>
        <v>41218</v>
      </c>
      <c r="GK4" s="13">
        <f t="shared" si="12"/>
        <v>41219</v>
      </c>
      <c r="GL4" s="13">
        <f t="shared" si="12"/>
        <v>41220</v>
      </c>
      <c r="GM4" s="13">
        <f t="shared" si="12"/>
        <v>41221</v>
      </c>
      <c r="GN4" s="13">
        <f t="shared" si="12"/>
        <v>41222</v>
      </c>
      <c r="GO4" s="13">
        <f t="shared" si="12"/>
        <v>41225</v>
      </c>
      <c r="GP4" s="13">
        <f t="shared" si="12"/>
        <v>41226</v>
      </c>
      <c r="GQ4" s="13">
        <f t="shared" si="12"/>
        <v>41227</v>
      </c>
      <c r="GR4" s="13">
        <f t="shared" si="12"/>
        <v>41228</v>
      </c>
      <c r="GS4" s="13">
        <f t="shared" si="12"/>
        <v>41229</v>
      </c>
      <c r="GT4" s="13">
        <f t="shared" si="12"/>
        <v>41232</v>
      </c>
      <c r="GU4" s="13">
        <f t="shared" si="12"/>
        <v>41233</v>
      </c>
      <c r="GV4" s="13">
        <f t="shared" si="12"/>
        <v>41234</v>
      </c>
      <c r="GW4" s="13">
        <f t="shared" si="12"/>
        <v>41235</v>
      </c>
      <c r="GX4" s="13">
        <f t="shared" si="12"/>
        <v>41236</v>
      </c>
      <c r="GY4" s="13">
        <f t="shared" si="12"/>
        <v>41239</v>
      </c>
      <c r="GZ4" s="13">
        <f t="shared" si="12"/>
        <v>41240</v>
      </c>
      <c r="HA4" s="13">
        <f t="shared" si="12"/>
        <v>41241</v>
      </c>
      <c r="HB4" s="13">
        <f t="shared" si="12"/>
        <v>41242</v>
      </c>
      <c r="HC4" s="13">
        <f t="shared" si="12"/>
        <v>41243</v>
      </c>
    </row>
    <row r="5" spans="1:211" s="24" customFormat="1" ht="9" customHeight="1">
      <c r="A5" s="35"/>
      <c r="B5" s="36"/>
      <c r="C5" s="36"/>
      <c r="D5" s="68"/>
      <c r="E5" s="36"/>
      <c r="F5" s="36"/>
      <c r="G5" s="51"/>
      <c r="H5" s="52"/>
      <c r="I5" s="88"/>
      <c r="J5" s="53"/>
      <c r="K5" s="54"/>
      <c r="L5" s="54"/>
      <c r="M5" s="71"/>
      <c r="N5" s="54"/>
      <c r="O5" s="54"/>
      <c r="P5" s="54"/>
      <c r="Q5" s="54"/>
      <c r="R5" s="55"/>
      <c r="S5" s="62"/>
      <c r="T5" s="76"/>
      <c r="U5" s="76"/>
      <c r="V5" s="57"/>
      <c r="W5" s="58"/>
      <c r="X5" s="56"/>
      <c r="Y5" s="56"/>
      <c r="Z5" s="59"/>
      <c r="AA5" s="60"/>
      <c r="AB5" s="61"/>
      <c r="AC5" s="14" t="str">
        <f>IF(COUNTIF(休日設定!$A$2:$A$398,AC$3)&gt;0,"休","")</f>
        <v/>
      </c>
      <c r="AD5" s="15" t="str">
        <f>IF(COUNTIF(休日設定!$A$2:$A$398,AD$3)&gt;0,"休","")</f>
        <v/>
      </c>
      <c r="AE5" s="15" t="str">
        <f>IF(COUNTIF(休日設定!$A$2:$A$398,AE$3)&gt;0,"休","")</f>
        <v/>
      </c>
      <c r="AF5" s="15" t="str">
        <f>IF(COUNTIF(休日設定!$A$2:$A$398,AF$3)&gt;0,"休","")</f>
        <v/>
      </c>
      <c r="AG5" s="15" t="str">
        <f>IF(COUNTIF(休日設定!$A$2:$A$398,AG$3)&gt;0,"休","")</f>
        <v/>
      </c>
      <c r="AH5" s="15" t="str">
        <f>IF(COUNTIF(休日設定!$A$2:$A$398,AH$3)&gt;0,"休","")</f>
        <v/>
      </c>
      <c r="AI5" s="15" t="str">
        <f>IF(COUNTIF(休日設定!$A$2:$A$398,AI$3)&gt;0,"休","")</f>
        <v/>
      </c>
      <c r="AJ5" s="15" t="str">
        <f>IF(COUNTIF(休日設定!$A$2:$A$398,AJ$3)&gt;0,"休","")</f>
        <v/>
      </c>
      <c r="AK5" s="15" t="str">
        <f>IF(COUNTIF(休日設定!$A$2:$A$398,AK$3)&gt;0,"休","")</f>
        <v/>
      </c>
      <c r="AL5" s="15" t="str">
        <f>IF(COUNTIF(休日設定!$A$2:$A$398,AL$3)&gt;0,"休","")</f>
        <v/>
      </c>
      <c r="AM5" s="15" t="str">
        <f>IF(COUNTIF(休日設定!$A$2:$A$398,AM$3)&gt;0,"休","")</f>
        <v/>
      </c>
      <c r="AN5" s="15" t="str">
        <f>IF(COUNTIF(休日設定!$A$2:$A$398,AN$3)&gt;0,"休","")</f>
        <v/>
      </c>
      <c r="AO5" s="15" t="str">
        <f>IF(COUNTIF(休日設定!$A$2:$A$398,AO$3)&gt;0,"休","")</f>
        <v/>
      </c>
      <c r="AP5" s="15" t="str">
        <f>IF(COUNTIF(休日設定!$A$2:$A$398,AP$3)&gt;0,"休","")</f>
        <v/>
      </c>
      <c r="AQ5" s="15" t="str">
        <f>IF(COUNTIF(休日設定!$A$2:$A$398,AQ$3)&gt;0,"休","")</f>
        <v/>
      </c>
      <c r="AR5" s="15" t="str">
        <f>IF(COUNTIF(休日設定!$A$2:$A$398,AR$3)&gt;0,"休","")</f>
        <v/>
      </c>
      <c r="AS5" s="15" t="str">
        <f>IF(COUNTIF(休日設定!$A$2:$A$398,AS$3)&gt;0,"休","")</f>
        <v/>
      </c>
      <c r="AT5" s="15" t="str">
        <f>IF(COUNTIF(休日設定!$A$2:$A$398,AT$3)&gt;0,"休","")</f>
        <v/>
      </c>
      <c r="AU5" s="15" t="str">
        <f>IF(COUNTIF(休日設定!$A$2:$A$398,AU$3)&gt;0,"休","")</f>
        <v/>
      </c>
      <c r="AV5" s="15" t="str">
        <f>IF(COUNTIF(休日設定!$A$2:$A$398,AV$3)&gt;0,"休","")</f>
        <v/>
      </c>
      <c r="AW5" s="15" t="str">
        <f>IF(COUNTIF(休日設定!$A$2:$A$398,AW$3)&gt;0,"休","")</f>
        <v/>
      </c>
      <c r="AX5" s="15" t="str">
        <f>IF(COUNTIF(休日設定!$A$2:$A$398,AX$3)&gt;0,"休","")</f>
        <v/>
      </c>
      <c r="AY5" s="15" t="str">
        <f>IF(COUNTIF(休日設定!$A$2:$A$398,AY$3)&gt;0,"休","")</f>
        <v/>
      </c>
      <c r="AZ5" s="15" t="str">
        <f>IF(COUNTIF(休日設定!$A$2:$A$398,AZ$3)&gt;0,"休","")</f>
        <v/>
      </c>
      <c r="BA5" s="15" t="str">
        <f>IF(COUNTIF(休日設定!$A$2:$A$398,BA$3)&gt;0,"休","")</f>
        <v/>
      </c>
      <c r="BB5" s="15" t="str">
        <f>IF(COUNTIF(休日設定!$A$2:$A$398,BB$3)&gt;0,"休","")</f>
        <v/>
      </c>
      <c r="BC5" s="15" t="str">
        <f>IF(COUNTIF(休日設定!$A$2:$A$398,BC$3)&gt;0,"休","")</f>
        <v/>
      </c>
      <c r="BD5" s="15" t="str">
        <f>IF(COUNTIF(休日設定!$A$2:$A$398,BD$3)&gt;0,"休","")</f>
        <v/>
      </c>
      <c r="BE5" s="15" t="str">
        <f>IF(COUNTIF(休日設定!$A$2:$A$398,BE$3)&gt;0,"休","")</f>
        <v/>
      </c>
      <c r="BF5" s="15" t="str">
        <f>IF(COUNTIF(休日設定!$A$2:$A$398,BF$3)&gt;0,"休","")</f>
        <v/>
      </c>
      <c r="BG5" s="15" t="str">
        <f>IF(COUNTIF(休日設定!$A$2:$A$398,BG$3)&gt;0,"休","")</f>
        <v/>
      </c>
      <c r="BH5" s="15" t="str">
        <f>IF(COUNTIF(休日設定!$A$2:$A$398,BH$3)&gt;0,"休","")</f>
        <v/>
      </c>
      <c r="BI5" s="15" t="str">
        <f>IF(COUNTIF(休日設定!$A$2:$A$398,BI$3)&gt;0,"休","")</f>
        <v/>
      </c>
      <c r="BJ5" s="15" t="str">
        <f>IF(COUNTIF(休日設定!$A$2:$A$398,BJ$3)&gt;0,"休","")</f>
        <v/>
      </c>
      <c r="BK5" s="15" t="str">
        <f>IF(COUNTIF(休日設定!$A$2:$A$398,BK$3)&gt;0,"休","")</f>
        <v/>
      </c>
      <c r="BL5" s="15" t="str">
        <f>IF(COUNTIF(休日設定!$A$2:$A$398,BL$3)&gt;0,"休","")</f>
        <v/>
      </c>
      <c r="BM5" s="15" t="str">
        <f>IF(COUNTIF(休日設定!$A$2:$A$398,BM$3)&gt;0,"休","")</f>
        <v/>
      </c>
      <c r="BN5" s="15" t="str">
        <f>IF(COUNTIF(休日設定!$A$2:$A$398,BN$3)&gt;0,"休","")</f>
        <v/>
      </c>
      <c r="BO5" s="15" t="str">
        <f>IF(COUNTIF(休日設定!$A$2:$A$398,BO$3)&gt;0,"休","")</f>
        <v/>
      </c>
      <c r="BP5" s="15" t="str">
        <f>IF(COUNTIF(休日設定!$A$2:$A$398,BP$3)&gt;0,"休","")</f>
        <v/>
      </c>
      <c r="BQ5" s="15" t="str">
        <f>IF(COUNTIF(休日設定!$A$2:$A$398,BQ$3)&gt;0,"休","")</f>
        <v/>
      </c>
      <c r="BR5" s="15" t="str">
        <f>IF(COUNTIF(休日設定!$A$2:$A$398,BR$3)&gt;0,"休","")</f>
        <v/>
      </c>
      <c r="BS5" s="15" t="str">
        <f>IF(COUNTIF(休日設定!$A$2:$A$398,BS$3)&gt;0,"休","")</f>
        <v/>
      </c>
      <c r="BT5" s="15" t="str">
        <f>IF(COUNTIF(休日設定!$A$2:$A$398,BT$3)&gt;0,"休","")</f>
        <v/>
      </c>
      <c r="BU5" s="15" t="str">
        <f>IF(COUNTIF(休日設定!$A$2:$A$398,BU$3)&gt;0,"休","")</f>
        <v/>
      </c>
      <c r="BV5" s="15" t="str">
        <f>IF(COUNTIF(休日設定!$A$2:$A$398,BV$3)&gt;0,"休","")</f>
        <v/>
      </c>
      <c r="BW5" s="15" t="str">
        <f>IF(COUNTIF(休日設定!$A$2:$A$398,BW$3)&gt;0,"休","")</f>
        <v/>
      </c>
      <c r="BX5" s="15" t="str">
        <f>IF(COUNTIF(休日設定!$A$2:$A$398,BX$3)&gt;0,"休","")</f>
        <v/>
      </c>
      <c r="BY5" s="15" t="str">
        <f>IF(COUNTIF(休日設定!$A$2:$A$398,BY$3)&gt;0,"休","")</f>
        <v/>
      </c>
      <c r="BZ5" s="15" t="str">
        <f>IF(COUNTIF(休日設定!$A$2:$A$398,BZ$3)&gt;0,"休","")</f>
        <v/>
      </c>
      <c r="CA5" s="15" t="str">
        <f>IF(COUNTIF(休日設定!$A$2:$A$398,CA$3)&gt;0,"休","")</f>
        <v/>
      </c>
      <c r="CB5" s="15" t="str">
        <f>IF(COUNTIF(休日設定!$A$2:$A$398,CB$3)&gt;0,"休","")</f>
        <v/>
      </c>
      <c r="CC5" s="15" t="str">
        <f>IF(COUNTIF(休日設定!$A$2:$A$398,CC$3)&gt;0,"休","")</f>
        <v/>
      </c>
      <c r="CD5" s="15" t="str">
        <f>IF(COUNTIF(休日設定!$A$2:$A$398,CD$3)&gt;0,"休","")</f>
        <v/>
      </c>
      <c r="CE5" s="15" t="str">
        <f>IF(COUNTIF(休日設定!$A$2:$A$398,CE$3)&gt;0,"休","")</f>
        <v/>
      </c>
      <c r="CF5" s="15" t="str">
        <f>IF(COUNTIF(休日設定!$A$2:$A$398,CF$3)&gt;0,"休","")</f>
        <v/>
      </c>
      <c r="CG5" s="15" t="str">
        <f>IF(COUNTIF(休日設定!$A$2:$A$398,CG$3)&gt;0,"休","")</f>
        <v/>
      </c>
      <c r="CH5" s="15" t="str">
        <f>IF(COUNTIF(休日設定!$A$2:$A$398,CH$3)&gt;0,"休","")</f>
        <v/>
      </c>
      <c r="CI5" s="15" t="str">
        <f>IF(COUNTIF(休日設定!$A$2:$A$398,CI$3)&gt;0,"休","")</f>
        <v/>
      </c>
      <c r="CJ5" s="15" t="str">
        <f>IF(COUNTIF(休日設定!$A$2:$A$398,CJ$3)&gt;0,"休","")</f>
        <v/>
      </c>
      <c r="CK5" s="15" t="str">
        <f>IF(COUNTIF(休日設定!$A$2:$A$398,CK$3)&gt;0,"休","")</f>
        <v/>
      </c>
      <c r="CL5" s="15" t="str">
        <f>IF(COUNTIF(休日設定!$A$2:$A$398,CL$3)&gt;0,"休","")</f>
        <v/>
      </c>
      <c r="CM5" s="15" t="str">
        <f>IF(COUNTIF(休日設定!$A$2:$A$398,CM$3)&gt;0,"休","")</f>
        <v/>
      </c>
      <c r="CN5" s="15" t="str">
        <f>IF(COUNTIF(休日設定!$A$2:$A$398,CN$3)&gt;0,"休","")</f>
        <v/>
      </c>
      <c r="CO5" s="15" t="str">
        <f>IF(COUNTIF(休日設定!$A$2:$A$398,CO$3)&gt;0,"休","")</f>
        <v/>
      </c>
      <c r="CP5" s="15" t="str">
        <f>IF(COUNTIF(休日設定!$A$2:$A$398,CP$3)&gt;0,"休","")</f>
        <v/>
      </c>
      <c r="CQ5" s="15" t="str">
        <f>IF(COUNTIF(休日設定!$A$2:$A$398,CQ$3)&gt;0,"休","")</f>
        <v/>
      </c>
      <c r="CR5" s="15" t="str">
        <f>IF(COUNTIF(休日設定!$A$2:$A$398,CR$3)&gt;0,"休","")</f>
        <v/>
      </c>
      <c r="CS5" s="15" t="str">
        <f>IF(COUNTIF(休日設定!$A$2:$A$398,CS$3)&gt;0,"休","")</f>
        <v/>
      </c>
      <c r="CT5" s="15" t="str">
        <f>IF(COUNTIF(休日設定!$A$2:$A$398,CT$3)&gt;0,"休","")</f>
        <v/>
      </c>
      <c r="CU5" s="15"/>
      <c r="CV5" s="15" t="str">
        <f>IF(COUNTIF(休日設定!$A$2:$A$398,CV$3)&gt;0,"休","")</f>
        <v/>
      </c>
      <c r="CW5" s="15" t="str">
        <f>IF(COUNTIF(休日設定!$A$2:$A$398,CW$3)&gt;0,"休","")</f>
        <v/>
      </c>
      <c r="CX5" s="15" t="str">
        <f>IF(COUNTIF(休日設定!$A$2:$A$398,CX$3)&gt;0,"休","")</f>
        <v/>
      </c>
      <c r="CY5" s="15" t="str">
        <f>IF(COUNTIF(休日設定!$A$2:$A$398,CY$3)&gt;0,"休","")</f>
        <v/>
      </c>
      <c r="CZ5" s="15" t="str">
        <f>IF(COUNTIF(休日設定!$A$2:$A$398,CZ$3)&gt;0,"休","")</f>
        <v/>
      </c>
      <c r="DA5" s="15" t="str">
        <f>IF(COUNTIF(休日設定!$A$2:$A$398,DA$3)&gt;0,"休","")</f>
        <v/>
      </c>
      <c r="DB5" s="15" t="str">
        <f>IF(COUNTIF(休日設定!$A$2:$A$398,DB$3)&gt;0,"休","")</f>
        <v/>
      </c>
      <c r="DC5" s="15" t="str">
        <f>IF(COUNTIF(休日設定!$A$2:$A$398,DC$3)&gt;0,"休","")</f>
        <v/>
      </c>
      <c r="DD5" s="15" t="str">
        <f>IF(COUNTIF(休日設定!$A$2:$A$398,DD$3)&gt;0,"休","")</f>
        <v/>
      </c>
      <c r="DE5" s="15" t="str">
        <f>IF(COUNTIF(休日設定!$A$2:$A$398,DE$3)&gt;0,"休","")</f>
        <v/>
      </c>
      <c r="DF5" s="15" t="str">
        <f>IF(COUNTIF(休日設定!$A$2:$A$398,DF$3)&gt;0,"休","")</f>
        <v/>
      </c>
      <c r="DG5" s="15" t="str">
        <f>IF(COUNTIF(休日設定!$A$2:$A$398,DG$3)&gt;0,"休","")</f>
        <v/>
      </c>
      <c r="DH5" s="15" t="str">
        <f>IF(COUNTIF(休日設定!$A$2:$A$398,DH$3)&gt;0,"休","")</f>
        <v/>
      </c>
      <c r="DI5" s="15" t="str">
        <f>IF(COUNTIF(休日設定!$A$2:$A$398,DI$3)&gt;0,"休","")</f>
        <v/>
      </c>
      <c r="DJ5" s="15" t="str">
        <f>IF(COUNTIF(休日設定!$A$2:$A$398,DJ$3)&gt;0,"休","")</f>
        <v/>
      </c>
      <c r="DK5" s="15" t="str">
        <f>IF(COUNTIF(休日設定!$A$2:$A$398,DK$3)&gt;0,"休","")</f>
        <v/>
      </c>
      <c r="DL5" s="15" t="str">
        <f>IF(COUNTIF(休日設定!$A$2:$A$398,DL$3)&gt;0,"休","")</f>
        <v/>
      </c>
      <c r="DM5" s="15" t="str">
        <f>IF(COUNTIF(休日設定!$A$2:$A$398,DM$3)&gt;0,"休","")</f>
        <v/>
      </c>
      <c r="DN5" s="15" t="str">
        <f>IF(COUNTIF(休日設定!$A$2:$A$398,DN$3)&gt;0,"休","")</f>
        <v/>
      </c>
      <c r="DO5" s="15" t="str">
        <f>IF(COUNTIF(休日設定!$A$2:$A$398,DO$3)&gt;0,"休","")</f>
        <v/>
      </c>
      <c r="DP5" s="15" t="str">
        <f>IF(COUNTIF(休日設定!$A$2:$A$398,DP$3)&gt;0,"休","")</f>
        <v/>
      </c>
      <c r="DQ5" s="15" t="str">
        <f>IF(COUNTIF(休日設定!$A$2:$A$398,DQ$3)&gt;0,"休","")</f>
        <v/>
      </c>
      <c r="DR5" s="15" t="str">
        <f>IF(COUNTIF(休日設定!$A$2:$A$398,DR$3)&gt;0,"休","")</f>
        <v/>
      </c>
      <c r="DS5" s="15" t="str">
        <f>IF(COUNTIF(休日設定!$A$2:$A$398,DS$3)&gt;0,"休","")</f>
        <v/>
      </c>
      <c r="DT5" s="15" t="str">
        <f>IF(COUNTIF(休日設定!$A$2:$A$398,DT$3)&gt;0,"休","")</f>
        <v/>
      </c>
      <c r="DU5" s="15" t="str">
        <f>IF(COUNTIF(休日設定!$A$2:$A$398,DU$3)&gt;0,"休","")</f>
        <v/>
      </c>
      <c r="DV5" s="15" t="str">
        <f>IF(COUNTIF(休日設定!$A$2:$A$398,DV$3)&gt;0,"休","")</f>
        <v/>
      </c>
      <c r="DW5" s="15" t="str">
        <f>IF(COUNTIF(休日設定!$A$2:$A$398,DW$3)&gt;0,"休","")</f>
        <v/>
      </c>
      <c r="DX5" s="15" t="str">
        <f>IF(COUNTIF(休日設定!$A$2:$A$398,DX$3)&gt;0,"休","")</f>
        <v/>
      </c>
      <c r="DY5" s="15" t="str">
        <f>IF(COUNTIF(休日設定!$A$2:$A$398,DY$3)&gt;0,"休","")</f>
        <v/>
      </c>
      <c r="DZ5" s="15" t="str">
        <f>IF(COUNTIF(休日設定!$A$2:$A$398,DZ$3)&gt;0,"休","")</f>
        <v/>
      </c>
      <c r="EA5" s="15" t="str">
        <f>IF(COUNTIF(休日設定!$A$2:$A$398,EA$3)&gt;0,"休","")</f>
        <v/>
      </c>
      <c r="EB5" s="15" t="str">
        <f>IF(COUNTIF(休日設定!$A$2:$A$398,EB$3)&gt;0,"休","")</f>
        <v/>
      </c>
      <c r="EC5" s="15" t="str">
        <f>IF(COUNTIF(休日設定!$A$2:$A$398,EC$3)&gt;0,"休","")</f>
        <v/>
      </c>
      <c r="ED5" s="15" t="str">
        <f>IF(COUNTIF(休日設定!$A$2:$A$398,ED$3)&gt;0,"休","")</f>
        <v/>
      </c>
      <c r="EE5" s="15" t="str">
        <f>IF(COUNTIF(休日設定!$A$2:$A$398,EE$3)&gt;0,"休","")</f>
        <v/>
      </c>
      <c r="EF5" s="15" t="str">
        <f>IF(COUNTIF(休日設定!$A$2:$A$398,EF$3)&gt;0,"休","")</f>
        <v/>
      </c>
      <c r="EG5" s="15" t="str">
        <f>IF(COUNTIF(休日設定!$A$2:$A$398,EG$3)&gt;0,"休","")</f>
        <v/>
      </c>
      <c r="EH5" s="15" t="str">
        <f>IF(COUNTIF(休日設定!$A$2:$A$398,EH$3)&gt;0,"休","")</f>
        <v/>
      </c>
      <c r="EI5" s="15" t="str">
        <f>IF(COUNTIF(休日設定!$A$2:$A$398,EI$3)&gt;0,"休","")</f>
        <v/>
      </c>
      <c r="EJ5" s="15" t="str">
        <f>IF(COUNTIF(休日設定!$A$2:$A$398,EJ$3)&gt;0,"休","")</f>
        <v/>
      </c>
      <c r="EK5" s="15" t="str">
        <f>IF(COUNTIF(休日設定!$A$2:$A$398,EK$3)&gt;0,"休","")</f>
        <v/>
      </c>
      <c r="EL5" s="15" t="str">
        <f>IF(COUNTIF(休日設定!$A$2:$A$398,EL$3)&gt;0,"休","")</f>
        <v/>
      </c>
      <c r="EM5" s="15" t="str">
        <f>IF(COUNTIF(休日設定!$A$2:$A$398,EM$3)&gt;0,"休","")</f>
        <v/>
      </c>
      <c r="EN5" s="15" t="str">
        <f>IF(COUNTIF(休日設定!$A$2:$A$398,EN$3)&gt;0,"休","")</f>
        <v/>
      </c>
      <c r="EO5" s="15" t="str">
        <f>IF(COUNTIF(休日設定!$A$2:$A$398,EO$3)&gt;0,"休","")</f>
        <v/>
      </c>
      <c r="EP5" s="15" t="str">
        <f>IF(COUNTIF(休日設定!$A$2:$A$398,EP$3)&gt;0,"休","")</f>
        <v/>
      </c>
      <c r="EQ5" s="15" t="str">
        <f>IF(COUNTIF(休日設定!$A$2:$A$398,EQ$3)&gt;0,"休","")</f>
        <v/>
      </c>
      <c r="ER5" s="15" t="str">
        <f>IF(COUNTIF(休日設定!$A$2:$A$398,ER$3)&gt;0,"休","")</f>
        <v/>
      </c>
      <c r="ES5" s="15" t="str">
        <f>IF(COUNTIF(休日設定!$A$2:$A$398,ES$3)&gt;0,"休","")</f>
        <v/>
      </c>
      <c r="ET5" s="15" t="str">
        <f>IF(COUNTIF(休日設定!$A$2:$A$398,ET$3)&gt;0,"休","")</f>
        <v/>
      </c>
      <c r="EU5" s="15" t="str">
        <f>IF(COUNTIF(休日設定!$A$2:$A$398,EU$3)&gt;0,"休","")</f>
        <v/>
      </c>
      <c r="EV5" s="15" t="str">
        <f>IF(COUNTIF(休日設定!$A$2:$A$398,EV$3)&gt;0,"休","")</f>
        <v/>
      </c>
      <c r="EW5" s="15" t="str">
        <f>IF(COUNTIF(休日設定!$A$2:$A$398,EW$3)&gt;0,"休","")</f>
        <v/>
      </c>
      <c r="EX5" s="15" t="str">
        <f>IF(COUNTIF(休日設定!$A$2:$A$398,EX$3)&gt;0,"休","")</f>
        <v/>
      </c>
      <c r="EY5" s="15" t="str">
        <f>IF(COUNTIF(休日設定!$A$2:$A$398,EY$3)&gt;0,"休","")</f>
        <v/>
      </c>
      <c r="EZ5" s="15" t="str">
        <f>IF(COUNTIF(休日設定!$A$2:$A$398,EZ$3)&gt;0,"休","")</f>
        <v/>
      </c>
      <c r="FA5" s="15" t="str">
        <f>IF(COUNTIF(休日設定!$A$2:$A$398,FA$3)&gt;0,"休","")</f>
        <v/>
      </c>
      <c r="FB5" s="15" t="str">
        <f>IF(COUNTIF(休日設定!$A$2:$A$398,FB$3)&gt;0,"休","")</f>
        <v/>
      </c>
      <c r="FC5" s="15" t="str">
        <f>IF(COUNTIF(休日設定!$A$2:$A$398,FC$3)&gt;0,"休","")</f>
        <v/>
      </c>
      <c r="FD5" s="15" t="str">
        <f>IF(COUNTIF(休日設定!$A$2:$A$398,FD$3)&gt;0,"休","")</f>
        <v/>
      </c>
      <c r="FE5" s="15" t="str">
        <f>IF(COUNTIF(休日設定!$A$2:$A$398,FE$3)&gt;0,"休","")</f>
        <v/>
      </c>
      <c r="FF5" s="15" t="str">
        <f>IF(COUNTIF(休日設定!$A$2:$A$398,FF$3)&gt;0,"休","")</f>
        <v/>
      </c>
      <c r="FG5" s="15" t="str">
        <f>IF(COUNTIF(休日設定!$A$2:$A$398,FG$3)&gt;0,"休","")</f>
        <v/>
      </c>
      <c r="FH5" s="15" t="str">
        <f>IF(COUNTIF(休日設定!$A$2:$A$398,FH$3)&gt;0,"休","")</f>
        <v/>
      </c>
      <c r="FI5" s="15" t="str">
        <f>IF(COUNTIF(休日設定!$A$2:$A$398,FI$3)&gt;0,"休","")</f>
        <v/>
      </c>
      <c r="FJ5" s="15" t="str">
        <f>IF(COUNTIF(休日設定!$A$2:$A$398,FJ$3)&gt;0,"休","")</f>
        <v/>
      </c>
      <c r="FK5" s="15" t="str">
        <f>IF(COUNTIF(休日設定!$A$2:$A$398,FK$3)&gt;0,"休","")</f>
        <v/>
      </c>
      <c r="FL5" s="15" t="str">
        <f>IF(COUNTIF(休日設定!$A$2:$A$398,FL$3)&gt;0,"休","")</f>
        <v/>
      </c>
      <c r="FM5" s="15" t="str">
        <f>IF(COUNTIF(休日設定!$A$2:$A$398,FM$3)&gt;0,"休","")</f>
        <v/>
      </c>
      <c r="FN5" s="15" t="str">
        <f>IF(COUNTIF(休日設定!$A$2:$A$398,FN$3)&gt;0,"休","")</f>
        <v/>
      </c>
      <c r="FO5" s="15" t="str">
        <f>IF(COUNTIF(休日設定!$A$2:$A$398,FO$3)&gt;0,"休","")</f>
        <v/>
      </c>
      <c r="FP5" s="15" t="str">
        <f>IF(COUNTIF(休日設定!$A$2:$A$398,FP$3)&gt;0,"休","")</f>
        <v/>
      </c>
      <c r="FQ5" s="15" t="str">
        <f>IF(COUNTIF(休日設定!$A$2:$A$398,FQ$3)&gt;0,"休","")</f>
        <v/>
      </c>
      <c r="FR5" s="15" t="str">
        <f>IF(COUNTIF(休日設定!$A$2:$A$398,FR$3)&gt;0,"休","")</f>
        <v/>
      </c>
      <c r="FS5" s="15" t="str">
        <f>IF(COUNTIF(休日設定!$A$2:$A$398,FS$3)&gt;0,"休","")</f>
        <v/>
      </c>
      <c r="FT5" s="15" t="str">
        <f>IF(COUNTIF(休日設定!$A$2:$A$398,FT$3)&gt;0,"休","")</f>
        <v/>
      </c>
      <c r="FU5" s="15" t="str">
        <f>IF(COUNTIF(休日設定!$A$2:$A$398,FU$3)&gt;0,"休","")</f>
        <v/>
      </c>
      <c r="FV5" s="15" t="str">
        <f>IF(COUNTIF(休日設定!$A$2:$A$398,FV$3)&gt;0,"休","")</f>
        <v/>
      </c>
      <c r="FW5" s="15" t="str">
        <f>IF(COUNTIF(休日設定!$A$2:$A$398,FW$3)&gt;0,"休","")</f>
        <v/>
      </c>
      <c r="FX5" s="15" t="str">
        <f>IF(COUNTIF(休日設定!$A$2:$A$398,FX$3)&gt;0,"休","")</f>
        <v/>
      </c>
      <c r="FY5" s="15" t="str">
        <f>IF(COUNTIF(休日設定!$A$2:$A$398,FY$3)&gt;0,"休","")</f>
        <v/>
      </c>
      <c r="FZ5" s="15" t="str">
        <f>IF(COUNTIF(休日設定!$A$2:$A$398,FZ$3)&gt;0,"休","")</f>
        <v/>
      </c>
      <c r="GA5" s="15" t="str">
        <f>IF(COUNTIF(休日設定!$A$2:$A$398,GA$3)&gt;0,"休","")</f>
        <v/>
      </c>
      <c r="GB5" s="24" t="str">
        <f>IF(COUNTIF(休日設定!$A$2:$A$398,GB$3)&gt;0,"休","")</f>
        <v/>
      </c>
      <c r="GC5" s="24" t="str">
        <f>IF(COUNTIF(休日設定!$A$2:$A$398,GC$3)&gt;0,"休","")</f>
        <v/>
      </c>
      <c r="GD5" s="24" t="str">
        <f>IF(COUNTIF(休日設定!$A$2:$A$398,GD$3)&gt;0,"休","")</f>
        <v/>
      </c>
      <c r="GE5" s="24" t="str">
        <f>IF(COUNTIF(休日設定!$A$2:$A$398,GE$3)&gt;0,"休","")</f>
        <v/>
      </c>
      <c r="GF5" s="24" t="str">
        <f>IF(COUNTIF(休日設定!$A$2:$A$398,GF$3)&gt;0,"休","")</f>
        <v/>
      </c>
      <c r="GG5" s="24" t="str">
        <f>IF(COUNTIF(休日設定!$A$2:$A$398,GG$3)&gt;0,"休","")</f>
        <v/>
      </c>
      <c r="GH5" s="24" t="str">
        <f>IF(COUNTIF(休日設定!$A$2:$A$398,GH$3)&gt;0,"休","")</f>
        <v/>
      </c>
      <c r="GI5" s="24" t="str">
        <f>IF(COUNTIF(休日設定!$A$2:$A$398,GI$3)&gt;0,"休","")</f>
        <v/>
      </c>
      <c r="GJ5" s="24" t="str">
        <f>IF(COUNTIF(休日設定!$A$2:$A$398,GJ$3)&gt;0,"休","")</f>
        <v/>
      </c>
      <c r="GK5" s="24" t="str">
        <f>IF(COUNTIF(休日設定!$A$2:$A$398,GK$3)&gt;0,"休","")</f>
        <v/>
      </c>
      <c r="GL5" s="24" t="str">
        <f>IF(COUNTIF(休日設定!$A$2:$A$398,GL$3)&gt;0,"休","")</f>
        <v/>
      </c>
      <c r="GM5" s="24" t="str">
        <f>IF(COUNTIF(休日設定!$A$2:$A$398,GM$3)&gt;0,"休","")</f>
        <v/>
      </c>
      <c r="GN5" s="24" t="str">
        <f>IF(COUNTIF(休日設定!$A$2:$A$398,GN$3)&gt;0,"休","")</f>
        <v/>
      </c>
      <c r="GO5" s="24" t="str">
        <f>IF(COUNTIF(休日設定!$A$2:$A$398,GO$3)&gt;0,"休","")</f>
        <v/>
      </c>
      <c r="GP5" s="24" t="str">
        <f>IF(COUNTIF(休日設定!$A$2:$A$398,GP$3)&gt;0,"休","")</f>
        <v/>
      </c>
      <c r="GQ5" s="24" t="str">
        <f>IF(COUNTIF(休日設定!$A$2:$A$398,GQ$3)&gt;0,"休","")</f>
        <v/>
      </c>
      <c r="GR5" s="24" t="str">
        <f>IF(COUNTIF(休日設定!$A$2:$A$398,GR$3)&gt;0,"休","")</f>
        <v/>
      </c>
      <c r="GS5" s="24" t="str">
        <f>IF(COUNTIF(休日設定!$A$2:$A$398,GS$3)&gt;0,"休","")</f>
        <v/>
      </c>
      <c r="GT5" s="24" t="str">
        <f>IF(COUNTIF(休日設定!$A$2:$A$398,GT$3)&gt;0,"休","")</f>
        <v/>
      </c>
      <c r="GU5" s="24" t="str">
        <f>IF(COUNTIF(休日設定!$A$2:$A$398,GU$3)&gt;0,"休","")</f>
        <v/>
      </c>
      <c r="GV5" s="24" t="str">
        <f>IF(COUNTIF(休日設定!$A$2:$A$398,GV$3)&gt;0,"休","")</f>
        <v/>
      </c>
      <c r="GW5" s="24" t="str">
        <f>IF(COUNTIF(休日設定!$A$2:$A$398,GW$3)&gt;0,"休","")</f>
        <v/>
      </c>
      <c r="GX5" s="24" t="str">
        <f>IF(COUNTIF(休日設定!$A$2:$A$398,GX$3)&gt;0,"休","")</f>
        <v/>
      </c>
      <c r="GY5" s="24" t="str">
        <f>IF(COUNTIF(休日設定!$A$2:$A$398,GY$3)&gt;0,"休","")</f>
        <v/>
      </c>
      <c r="GZ5" s="24" t="str">
        <f>IF(COUNTIF(休日設定!$A$2:$A$398,GZ$3)&gt;0,"休","")</f>
        <v/>
      </c>
      <c r="HA5" s="24" t="str">
        <f>IF(COUNTIF(休日設定!$A$2:$A$398,HA$3)&gt;0,"休","")</f>
        <v/>
      </c>
      <c r="HB5" s="24" t="str">
        <f>IF(COUNTIF(休日設定!$A$2:$A$398,HB$3)&gt;0,"休","")</f>
        <v/>
      </c>
      <c r="HC5" s="24" t="str">
        <f>IF(COUNTIF(休日設定!$A$2:$A$398,HC$3)&gt;0,"休","")</f>
        <v/>
      </c>
    </row>
    <row r="6" spans="1:211" s="65" customFormat="1">
      <c r="A6" s="37">
        <f>ROW()-5</f>
        <v>1</v>
      </c>
      <c r="B6" s="38"/>
      <c r="C6" s="38"/>
      <c r="D6" s="69"/>
      <c r="E6" s="66"/>
      <c r="F6" s="38"/>
      <c r="H6" s="16"/>
      <c r="I6" s="87"/>
      <c r="J6" s="17"/>
      <c r="K6" s="44"/>
      <c r="L6" s="45"/>
      <c r="M6" s="16"/>
      <c r="N6" s="43"/>
      <c r="O6" s="45"/>
      <c r="P6" s="45"/>
      <c r="Q6" s="45"/>
      <c r="R6" s="45"/>
      <c r="S6" s="63"/>
      <c r="T6" s="77"/>
      <c r="U6" s="78"/>
      <c r="V6" s="9"/>
      <c r="W6" s="3"/>
      <c r="X6" s="1"/>
      <c r="Y6" s="1"/>
      <c r="Z6" s="29"/>
      <c r="AA6" s="30"/>
      <c r="AB6" s="72" t="str">
        <f ca="1">IF($T6="","",IF($X6="",IF($T6&lt;TODAY(),"未着手","予定"),IF($Y6="",IF($U6&lt;TODAY(),"遅延","仕掛"),"完了")))</f>
        <v/>
      </c>
      <c r="AC6" s="145">
        <f t="shared" ref="AC6:BH6" si="13">SUM(AC8:AC93)</f>
        <v>15.5</v>
      </c>
      <c r="AD6" s="145">
        <f t="shared" si="13"/>
        <v>15.75</v>
      </c>
      <c r="AE6" s="145">
        <f t="shared" si="13"/>
        <v>16.5</v>
      </c>
      <c r="AF6" s="145">
        <f t="shared" si="13"/>
        <v>22</v>
      </c>
      <c r="AG6" s="145">
        <f t="shared" si="13"/>
        <v>20</v>
      </c>
      <c r="AH6" s="145">
        <f t="shared" si="13"/>
        <v>0</v>
      </c>
      <c r="AI6" s="145">
        <f t="shared" si="13"/>
        <v>0</v>
      </c>
      <c r="AJ6" s="145">
        <f t="shared" si="13"/>
        <v>17.25</v>
      </c>
      <c r="AK6" s="145">
        <f t="shared" si="13"/>
        <v>17</v>
      </c>
      <c r="AL6" s="145">
        <f t="shared" si="13"/>
        <v>16.5</v>
      </c>
      <c r="AM6" s="145">
        <f t="shared" si="13"/>
        <v>16.75</v>
      </c>
      <c r="AN6" s="145">
        <f t="shared" si="13"/>
        <v>15.75</v>
      </c>
      <c r="AO6" s="145">
        <f t="shared" si="13"/>
        <v>0</v>
      </c>
      <c r="AP6" s="145">
        <f t="shared" si="13"/>
        <v>0</v>
      </c>
      <c r="AQ6" s="145">
        <f t="shared" si="13"/>
        <v>15.75</v>
      </c>
      <c r="AR6" s="145">
        <f t="shared" si="13"/>
        <v>16</v>
      </c>
      <c r="AS6" s="145">
        <f t="shared" si="13"/>
        <v>17.5</v>
      </c>
      <c r="AT6" s="145">
        <f t="shared" si="13"/>
        <v>12.25</v>
      </c>
      <c r="AU6" s="145">
        <f t="shared" si="13"/>
        <v>16.5</v>
      </c>
      <c r="AV6" s="145">
        <f t="shared" si="13"/>
        <v>0</v>
      </c>
      <c r="AW6" s="145">
        <f t="shared" si="13"/>
        <v>0</v>
      </c>
      <c r="AX6" s="145">
        <f t="shared" si="13"/>
        <v>15.75</v>
      </c>
      <c r="AY6" s="145">
        <f t="shared" si="13"/>
        <v>15.75</v>
      </c>
      <c r="AZ6" s="145">
        <f t="shared" si="13"/>
        <v>16.5</v>
      </c>
      <c r="BA6" s="145">
        <f t="shared" si="13"/>
        <v>17.75</v>
      </c>
      <c r="BB6" s="145">
        <f t="shared" si="13"/>
        <v>19.75</v>
      </c>
      <c r="BC6" s="145">
        <f t="shared" si="13"/>
        <v>14.5</v>
      </c>
      <c r="BD6" s="145">
        <f t="shared" si="13"/>
        <v>0</v>
      </c>
      <c r="BE6" s="145">
        <f t="shared" si="13"/>
        <v>0</v>
      </c>
      <c r="BF6" s="145">
        <f t="shared" si="13"/>
        <v>0.5</v>
      </c>
      <c r="BG6" s="145">
        <f t="shared" si="13"/>
        <v>0</v>
      </c>
      <c r="BH6" s="145">
        <f t="shared" si="13"/>
        <v>0</v>
      </c>
      <c r="BI6" s="145">
        <f t="shared" ref="BI6:CM6" si="14">SUM(BI8:BI93)</f>
        <v>0</v>
      </c>
      <c r="BJ6" s="145">
        <f t="shared" si="14"/>
        <v>19.5</v>
      </c>
      <c r="BK6" s="145">
        <f t="shared" si="14"/>
        <v>18.5</v>
      </c>
      <c r="BL6" s="145">
        <f t="shared" si="14"/>
        <v>16.25</v>
      </c>
      <c r="BM6" s="145">
        <f t="shared" si="14"/>
        <v>20</v>
      </c>
      <c r="BN6" s="145">
        <f t="shared" si="14"/>
        <v>19</v>
      </c>
      <c r="BO6" s="145">
        <f t="shared" si="14"/>
        <v>19.5</v>
      </c>
      <c r="BP6" s="145">
        <f t="shared" si="14"/>
        <v>20.25</v>
      </c>
      <c r="BQ6" s="145">
        <f t="shared" si="14"/>
        <v>8</v>
      </c>
      <c r="BR6" s="145">
        <f t="shared" si="14"/>
        <v>7.75</v>
      </c>
      <c r="BS6" s="145">
        <f t="shared" si="14"/>
        <v>9.75</v>
      </c>
      <c r="BT6" s="145">
        <f t="shared" si="14"/>
        <v>8.5</v>
      </c>
      <c r="BU6" s="145">
        <f t="shared" si="14"/>
        <v>8</v>
      </c>
      <c r="BV6" s="145">
        <f t="shared" si="14"/>
        <v>9.5</v>
      </c>
      <c r="BW6" s="145">
        <f t="shared" si="14"/>
        <v>11</v>
      </c>
      <c r="BX6" s="145">
        <f t="shared" si="14"/>
        <v>7.75</v>
      </c>
      <c r="BY6" s="145">
        <f t="shared" si="14"/>
        <v>0</v>
      </c>
      <c r="BZ6" s="145">
        <f t="shared" si="14"/>
        <v>9.5</v>
      </c>
      <c r="CA6" s="145">
        <f t="shared" si="14"/>
        <v>8.5</v>
      </c>
      <c r="CB6" s="145">
        <f t="shared" si="14"/>
        <v>10</v>
      </c>
      <c r="CC6" s="145">
        <f t="shared" si="14"/>
        <v>1.25</v>
      </c>
      <c r="CD6" s="145">
        <f t="shared" si="14"/>
        <v>4.5</v>
      </c>
      <c r="CE6" s="145">
        <f t="shared" si="14"/>
        <v>0.25</v>
      </c>
      <c r="CF6" s="145">
        <f t="shared" si="14"/>
        <v>0.75</v>
      </c>
      <c r="CG6" s="145">
        <f t="shared" si="14"/>
        <v>0.25</v>
      </c>
      <c r="CH6" s="145">
        <f t="shared" si="14"/>
        <v>3.5</v>
      </c>
      <c r="CI6" s="145">
        <f t="shared" si="14"/>
        <v>10.5</v>
      </c>
      <c r="CJ6" s="145">
        <f t="shared" si="14"/>
        <v>6</v>
      </c>
      <c r="CK6" s="145">
        <f t="shared" si="14"/>
        <v>9</v>
      </c>
      <c r="CL6" s="145">
        <f t="shared" si="14"/>
        <v>5</v>
      </c>
      <c r="CM6" s="145">
        <f t="shared" si="14"/>
        <v>0</v>
      </c>
      <c r="CN6" s="145"/>
      <c r="CO6" s="145"/>
      <c r="CP6" s="145">
        <f>SUM(CP8:CP93)</f>
        <v>0</v>
      </c>
      <c r="CQ6" s="145">
        <f>SUM(CQ8:CQ93)</f>
        <v>0</v>
      </c>
      <c r="CR6" s="145">
        <f>SUM(CR8:CR93)</f>
        <v>0</v>
      </c>
      <c r="CS6" s="145">
        <f>SUM(CS8:CS93)</f>
        <v>0</v>
      </c>
      <c r="CT6" s="145">
        <f>SUM(CT8:CT93)</f>
        <v>0</v>
      </c>
      <c r="CU6" s="145"/>
      <c r="CV6" s="145"/>
      <c r="CW6" s="145">
        <f>SUM(CW8:CW93)</f>
        <v>0</v>
      </c>
      <c r="CX6" s="145">
        <f>SUM(CX8:CX93)</f>
        <v>0</v>
      </c>
      <c r="CY6" s="145">
        <f>SUM(CY8:CY93)</f>
        <v>0</v>
      </c>
      <c r="CZ6" s="145">
        <f>SUM(CZ8:CZ93)</f>
        <v>0</v>
      </c>
      <c r="DA6" s="145">
        <f>SUM(DA8:DA93)</f>
        <v>0</v>
      </c>
      <c r="DB6" s="145"/>
      <c r="DC6" s="145"/>
      <c r="DD6" s="145">
        <f>SUM(DD8:DD93)</f>
        <v>0</v>
      </c>
      <c r="DE6" s="145">
        <f>SUM(DE8:DE93)</f>
        <v>0</v>
      </c>
      <c r="DF6" s="145"/>
      <c r="DG6" s="145"/>
      <c r="DH6" s="145"/>
      <c r="DI6" s="145"/>
      <c r="DJ6" s="145"/>
      <c r="DK6" s="145"/>
      <c r="DL6" s="145"/>
      <c r="DM6" s="145"/>
      <c r="DN6" s="145"/>
      <c r="DO6" s="145"/>
      <c r="DP6" s="145"/>
      <c r="DQ6" s="145"/>
      <c r="DR6" s="145"/>
      <c r="DS6" s="145"/>
      <c r="DT6" s="145"/>
      <c r="DU6" s="145">
        <f>SUM(DU7:DU65561)</f>
        <v>0</v>
      </c>
      <c r="DV6" s="145"/>
      <c r="DW6" s="145">
        <f>SUM(DW7:DW65561)</f>
        <v>0</v>
      </c>
      <c r="DX6" s="145"/>
      <c r="DY6" s="145"/>
      <c r="DZ6" s="145">
        <f>SUM(DZ7:DZ65561)</f>
        <v>0</v>
      </c>
      <c r="EA6" s="145">
        <f>SUM(EA7:EA65561)</f>
        <v>0</v>
      </c>
      <c r="EB6" s="145">
        <f>SUM(EB7:EB65561)</f>
        <v>0</v>
      </c>
      <c r="EC6" s="145">
        <f>SUM(EC7:EC65561)</f>
        <v>0</v>
      </c>
      <c r="ED6" s="145"/>
      <c r="EE6" s="145"/>
      <c r="EF6" s="145">
        <f>SUM(EF7:EF65561)</f>
        <v>0</v>
      </c>
      <c r="EG6" s="145">
        <f>SUM(EG7:EG65561)</f>
        <v>0</v>
      </c>
      <c r="EH6" s="145">
        <f>SUM(EH7:EH65561)</f>
        <v>0</v>
      </c>
      <c r="EI6" s="145">
        <f>SUM(EI7:EI65561)</f>
        <v>0</v>
      </c>
      <c r="EJ6" s="145">
        <f>SUM(EJ7:EJ65561)</f>
        <v>0</v>
      </c>
      <c r="EK6" s="145"/>
      <c r="EL6" s="145"/>
      <c r="EM6" s="145">
        <f>SUM(EM7:EM65561)</f>
        <v>0</v>
      </c>
      <c r="EN6" s="145">
        <f>SUM(EN7:EN65561)</f>
        <v>0</v>
      </c>
      <c r="EO6" s="145">
        <f>SUM(EO7:EO65561)</f>
        <v>0</v>
      </c>
      <c r="EP6" s="145">
        <f>SUM(EP7:EP65561)</f>
        <v>0</v>
      </c>
      <c r="EQ6" s="145">
        <f>SUM(EQ7:EQ65561)</f>
        <v>0</v>
      </c>
      <c r="ER6" s="145"/>
      <c r="ES6" s="145"/>
      <c r="ET6" s="145">
        <f>SUM(ET7:ET65561)</f>
        <v>0</v>
      </c>
      <c r="EU6" s="145">
        <f>SUM(EU7:EU65561)</f>
        <v>0</v>
      </c>
      <c r="EV6" s="145">
        <f>SUM(EV7:EV65561)</f>
        <v>0</v>
      </c>
      <c r="EW6" s="145">
        <f>SUM(EW7:EW65561)</f>
        <v>0</v>
      </c>
      <c r="EX6" s="145">
        <f>SUM(EX7:EX65561)</f>
        <v>0</v>
      </c>
      <c r="EY6" s="145"/>
      <c r="EZ6" s="145"/>
      <c r="FA6" s="145">
        <f>SUM(FA7:FA65561)</f>
        <v>0</v>
      </c>
      <c r="FB6" s="145">
        <f>SUM(FB7:FB65561)</f>
        <v>0</v>
      </c>
      <c r="FC6" s="145">
        <f>SUM(FC7:FC65561)</f>
        <v>0</v>
      </c>
      <c r="FD6" s="145">
        <f>SUM(FD7:FD65561)</f>
        <v>0</v>
      </c>
      <c r="FE6" s="145">
        <f>SUM(FE7:FE65561)</f>
        <v>0</v>
      </c>
      <c r="FF6" s="145"/>
      <c r="FG6" s="145"/>
      <c r="FH6" s="145">
        <f>SUM(FH7:FH65561)</f>
        <v>0</v>
      </c>
      <c r="FI6" s="145">
        <f>SUM(FI7:FI65561)</f>
        <v>0</v>
      </c>
      <c r="FJ6" s="145">
        <f>SUM(FJ7:FJ65561)</f>
        <v>0</v>
      </c>
      <c r="FK6" s="145">
        <f>SUM(FK7:FK65561)</f>
        <v>0</v>
      </c>
      <c r="FL6" s="145">
        <f>SUM(FL7:FL65561)</f>
        <v>0</v>
      </c>
      <c r="FM6" s="145"/>
      <c r="FN6" s="145"/>
      <c r="FO6" s="145">
        <f>SUM(FO7:FO65561)</f>
        <v>0</v>
      </c>
      <c r="FP6" s="145">
        <f>SUM(FP7:FP65561)</f>
        <v>0</v>
      </c>
      <c r="FQ6" s="145">
        <f>SUM(FQ7:FQ65561)</f>
        <v>0</v>
      </c>
      <c r="FR6" s="145">
        <f>SUM(FR7:FR65561)</f>
        <v>0</v>
      </c>
      <c r="FS6" s="145">
        <f>SUM(FS7:FS65561)</f>
        <v>0</v>
      </c>
      <c r="FT6" s="145"/>
      <c r="FU6" s="145"/>
      <c r="FV6" s="145">
        <f>SUM(FV7:FV65561)</f>
        <v>0</v>
      </c>
      <c r="FW6" s="145">
        <f>SUM(FW7:FW65561)</f>
        <v>0</v>
      </c>
      <c r="FX6" s="145">
        <f>SUM(FX7:FX65561)</f>
        <v>0</v>
      </c>
      <c r="FY6" s="145">
        <f>SUM(FY7:FY65561)</f>
        <v>0</v>
      </c>
      <c r="FZ6" s="145">
        <f>SUM(FZ7:FZ65561)</f>
        <v>0</v>
      </c>
      <c r="GA6" s="145"/>
      <c r="GB6" s="145"/>
      <c r="GC6" s="145">
        <f>SUM(GC7:GC65561)</f>
        <v>0</v>
      </c>
      <c r="GD6" s="145">
        <f>SUM(GD7:GD65561)</f>
        <v>0</v>
      </c>
      <c r="GE6" s="145">
        <f>SUM(GE7:GE65561)</f>
        <v>0</v>
      </c>
      <c r="GF6" s="145">
        <f>SUM(GF7:GF65561)</f>
        <v>0</v>
      </c>
      <c r="GG6" s="145">
        <f>SUM(GG7:GG65561)</f>
        <v>0</v>
      </c>
      <c r="GH6" s="145"/>
      <c r="GI6" s="145"/>
      <c r="GJ6" s="145">
        <f>SUM(GJ7:GJ65561)</f>
        <v>0</v>
      </c>
      <c r="GK6" s="145">
        <f>SUM(GK7:GK65561)</f>
        <v>0</v>
      </c>
      <c r="GL6" s="145">
        <f>SUM(GL7:GL65561)</f>
        <v>0</v>
      </c>
      <c r="GM6" s="145">
        <f>SUM(GM7:GM65561)</f>
        <v>0</v>
      </c>
      <c r="GN6" s="145">
        <f>SUM(GN7:GN65561)</f>
        <v>0</v>
      </c>
      <c r="GO6" s="145"/>
      <c r="GP6" s="145"/>
      <c r="GQ6" s="145">
        <f t="shared" ref="GQ6:GY6" si="15">SUM(GQ7:GQ65561)</f>
        <v>0</v>
      </c>
      <c r="GR6" s="145">
        <f t="shared" si="15"/>
        <v>0</v>
      </c>
      <c r="GS6" s="145">
        <f t="shared" si="15"/>
        <v>0</v>
      </c>
      <c r="GT6" s="145">
        <f t="shared" si="15"/>
        <v>0</v>
      </c>
      <c r="GU6" s="145">
        <f t="shared" si="15"/>
        <v>0</v>
      </c>
      <c r="GV6" s="145">
        <f t="shared" si="15"/>
        <v>0</v>
      </c>
      <c r="GW6" s="145">
        <f t="shared" si="15"/>
        <v>0</v>
      </c>
      <c r="GX6" s="145">
        <f t="shared" si="15"/>
        <v>0</v>
      </c>
      <c r="GY6" s="145">
        <f t="shared" si="15"/>
        <v>0</v>
      </c>
      <c r="GZ6" s="145">
        <f>SUM(GZ7:GZ65561)</f>
        <v>0</v>
      </c>
      <c r="HA6" s="145">
        <f>SUM(HA7:HA65561)</f>
        <v>0</v>
      </c>
      <c r="HB6" s="145">
        <f>SUM(HB7:HB65561)</f>
        <v>0</v>
      </c>
      <c r="HC6" s="145">
        <f>SUM(HC7:HC65561)</f>
        <v>0</v>
      </c>
    </row>
    <row r="7" spans="1:211" s="91" customFormat="1">
      <c r="A7" s="90">
        <f>ROW()-5</f>
        <v>2</v>
      </c>
      <c r="B7" s="91" t="str">
        <f t="shared" ref="B7" si="16">MID(RIGHT(G7,8),1,7)</f>
        <v/>
      </c>
      <c r="C7" s="91" t="str">
        <f t="shared" ref="C7" si="17">MID(RIGHT(H7,8),1,7)</f>
        <v>BL管理基本業</v>
      </c>
      <c r="D7" s="91" t="str">
        <f t="shared" ref="D7" si="18">MID(RIGHT(I7,8),1,7)</f>
        <v/>
      </c>
      <c r="F7" s="91" t="str">
        <f>MID(RIGHT(K7,8),1,7)</f>
        <v/>
      </c>
      <c r="H7" s="92" t="s">
        <v>85</v>
      </c>
      <c r="I7" s="93"/>
      <c r="J7" s="92"/>
      <c r="K7" s="94"/>
      <c r="L7" s="95"/>
      <c r="M7" s="96"/>
      <c r="N7" s="97"/>
      <c r="O7" s="95"/>
      <c r="P7" s="95"/>
      <c r="Q7" s="95"/>
      <c r="R7" s="95"/>
      <c r="S7" s="98"/>
      <c r="T7" s="99"/>
      <c r="U7" s="100"/>
      <c r="V7" s="101"/>
      <c r="W7" s="108"/>
      <c r="X7" s="102"/>
      <c r="Y7" s="102"/>
      <c r="Z7" s="103" t="s">
        <v>70</v>
      </c>
      <c r="AA7" s="104"/>
      <c r="AB7" s="105" t="str">
        <f ca="1">IF($T7="","",IF($X7="",IF($T7&lt;TODAY(),"未着手","予定"),IF($Y7="",IF($U7&lt;TODAY(),"遅延","仕掛"),"完了")))</f>
        <v/>
      </c>
      <c r="AC7" s="106"/>
      <c r="AD7" s="106"/>
      <c r="AE7" s="106"/>
      <c r="AF7" s="106"/>
      <c r="AG7" s="106"/>
      <c r="AH7" s="106"/>
      <c r="AI7" s="106"/>
      <c r="AJ7" s="106"/>
      <c r="AK7" s="106"/>
      <c r="AL7" s="106"/>
      <c r="AM7" s="106"/>
      <c r="AN7" s="106"/>
      <c r="AO7" s="106"/>
      <c r="AP7" s="106"/>
      <c r="AQ7" s="106"/>
      <c r="AR7" s="106"/>
      <c r="AS7" s="106"/>
      <c r="AT7" s="106"/>
      <c r="AU7" s="106"/>
      <c r="AV7" s="106"/>
      <c r="AW7" s="106"/>
      <c r="AX7" s="106"/>
      <c r="AY7" s="106"/>
      <c r="AZ7" s="106"/>
      <c r="BA7" s="106"/>
      <c r="BB7" s="106"/>
      <c r="BC7" s="106"/>
      <c r="BD7" s="106"/>
      <c r="BE7" s="106"/>
      <c r="BF7" s="106"/>
      <c r="BG7" s="106"/>
      <c r="BH7" s="106"/>
      <c r="BI7" s="106"/>
      <c r="BJ7" s="106"/>
      <c r="BK7" s="106"/>
      <c r="BL7" s="106"/>
      <c r="BM7" s="106"/>
      <c r="BN7" s="106"/>
      <c r="BO7" s="106"/>
      <c r="BP7" s="106"/>
      <c r="BQ7" s="106"/>
      <c r="BR7" s="106"/>
      <c r="BS7" s="106"/>
      <c r="BT7" s="106"/>
      <c r="BU7" s="106"/>
      <c r="BV7" s="106"/>
      <c r="BW7" s="106"/>
      <c r="BX7" s="106"/>
      <c r="BY7" s="106"/>
      <c r="BZ7" s="106"/>
      <c r="CA7" s="106"/>
      <c r="CB7" s="106"/>
      <c r="CC7" s="106"/>
      <c r="CD7" s="106"/>
      <c r="CE7" s="106"/>
      <c r="CF7" s="106"/>
      <c r="CG7" s="106"/>
      <c r="CH7" s="106"/>
      <c r="CI7" s="106"/>
      <c r="CJ7" s="106"/>
      <c r="CK7" s="106"/>
      <c r="CL7" s="106"/>
      <c r="CM7" s="106"/>
      <c r="CN7" s="106"/>
      <c r="CO7" s="106"/>
      <c r="CP7" s="106"/>
      <c r="CQ7" s="106"/>
      <c r="CR7" s="106"/>
      <c r="CS7" s="106"/>
      <c r="CT7" s="106"/>
      <c r="CU7" s="106"/>
      <c r="CV7" s="106"/>
      <c r="CW7" s="106"/>
      <c r="CX7" s="106"/>
      <c r="CY7" s="106"/>
      <c r="CZ7" s="106"/>
      <c r="DA7" s="106"/>
      <c r="DB7" s="106"/>
      <c r="DC7" s="106"/>
      <c r="DD7" s="106"/>
      <c r="DE7" s="106"/>
      <c r="DF7" s="106"/>
      <c r="DG7" s="106"/>
      <c r="DH7" s="106"/>
      <c r="DI7" s="106"/>
      <c r="DJ7" s="106"/>
      <c r="DK7" s="106"/>
      <c r="DL7" s="106"/>
      <c r="DM7" s="106"/>
      <c r="DN7" s="106"/>
      <c r="DO7" s="106"/>
      <c r="DP7" s="106"/>
      <c r="DQ7" s="106"/>
      <c r="DR7" s="106"/>
      <c r="DS7" s="106"/>
      <c r="DT7" s="106"/>
      <c r="DU7" s="106"/>
      <c r="DV7" s="106"/>
      <c r="DW7" s="106"/>
      <c r="DX7" s="106"/>
      <c r="DY7" s="106"/>
      <c r="DZ7" s="106"/>
      <c r="EA7" s="106"/>
      <c r="EB7" s="106"/>
      <c r="EC7" s="106"/>
      <c r="ED7" s="106"/>
      <c r="EE7" s="106"/>
      <c r="EF7" s="106"/>
      <c r="EG7" s="106"/>
      <c r="EH7" s="106"/>
      <c r="EI7" s="106"/>
      <c r="EJ7" s="106"/>
      <c r="EK7" s="106"/>
      <c r="EL7" s="106"/>
      <c r="EM7" s="106"/>
      <c r="EN7" s="106"/>
      <c r="EO7" s="106"/>
      <c r="EP7" s="106"/>
      <c r="EQ7" s="106"/>
      <c r="ER7" s="106"/>
      <c r="ES7" s="106"/>
      <c r="ET7" s="106"/>
      <c r="EU7" s="106"/>
      <c r="EV7" s="106"/>
      <c r="EW7" s="106"/>
      <c r="EX7" s="106"/>
      <c r="EY7" s="106"/>
      <c r="EZ7" s="106"/>
      <c r="FA7" s="106"/>
      <c r="FB7" s="106"/>
      <c r="FC7" s="106"/>
      <c r="FD7" s="106"/>
      <c r="FE7" s="106"/>
      <c r="FF7" s="106"/>
      <c r="FG7" s="106"/>
      <c r="FH7" s="106"/>
      <c r="FI7" s="106"/>
      <c r="FJ7" s="106"/>
      <c r="FK7" s="106"/>
      <c r="FL7" s="106"/>
      <c r="FM7" s="106"/>
      <c r="FN7" s="106"/>
      <c r="FO7" s="106"/>
      <c r="FP7" s="106"/>
      <c r="FQ7" s="106"/>
      <c r="FR7" s="106"/>
      <c r="FS7" s="106"/>
      <c r="FT7" s="106"/>
      <c r="FU7" s="106"/>
      <c r="FV7" s="106"/>
      <c r="FW7" s="106"/>
      <c r="FX7" s="106"/>
      <c r="FY7" s="106"/>
      <c r="FZ7" s="106"/>
      <c r="GA7" s="106"/>
      <c r="GB7" s="107"/>
      <c r="GC7" s="107"/>
      <c r="GD7" s="107"/>
      <c r="GE7" s="107"/>
      <c r="GF7" s="107"/>
      <c r="GG7" s="107"/>
      <c r="GH7" s="107"/>
      <c r="GI7" s="107"/>
      <c r="GJ7" s="107"/>
      <c r="GK7" s="107"/>
      <c r="GL7" s="107"/>
      <c r="GM7" s="107"/>
      <c r="GN7" s="107"/>
      <c r="GO7" s="107"/>
      <c r="GP7" s="107"/>
      <c r="GQ7" s="107"/>
      <c r="GR7" s="107"/>
      <c r="GS7" s="107"/>
      <c r="GT7" s="107"/>
      <c r="GU7" s="107"/>
      <c r="GV7" s="107"/>
      <c r="GW7" s="107"/>
      <c r="GX7" s="107"/>
      <c r="GY7" s="107"/>
      <c r="GZ7" s="107"/>
      <c r="HA7" s="107"/>
      <c r="HB7" s="107"/>
      <c r="HC7" s="107"/>
    </row>
    <row r="8" spans="1:211" s="111" customFormat="1">
      <c r="A8" s="109">
        <f t="shared" ref="A8:A91" si="19">ROW()-5</f>
        <v>3</v>
      </c>
      <c r="B8" s="110" t="str">
        <f t="shared" ref="B8:C8" si="20">MID(RIGHT(G8,8),1,7)</f>
        <v/>
      </c>
      <c r="C8" s="110" t="str">
        <f t="shared" si="20"/>
        <v/>
      </c>
      <c r="D8" s="110" t="str">
        <f t="shared" ref="D8" si="21">MID(RIGHT(I8,8),1,7)</f>
        <v>BL変更</v>
      </c>
      <c r="E8" s="110" t="str">
        <f t="shared" ref="E8" si="22">MID(RIGHT(J8,8),1,7)</f>
        <v/>
      </c>
      <c r="H8" s="112"/>
      <c r="I8" s="127" t="s">
        <v>148</v>
      </c>
      <c r="J8" s="113"/>
      <c r="K8" s="114"/>
      <c r="L8" s="115"/>
      <c r="M8" s="116"/>
      <c r="N8" s="117"/>
      <c r="O8" s="115"/>
      <c r="P8" s="115"/>
      <c r="Q8" s="115"/>
      <c r="R8" s="115"/>
      <c r="S8" s="118"/>
      <c r="T8" s="119"/>
      <c r="U8" s="119"/>
      <c r="V8" s="120"/>
      <c r="W8" s="121"/>
      <c r="X8" s="119"/>
      <c r="Y8" s="119"/>
      <c r="Z8" s="122">
        <f ca="1">SUM(Z9:Z10)</f>
        <v>13.5</v>
      </c>
      <c r="AA8" s="128"/>
      <c r="AB8" s="123"/>
      <c r="AC8" s="124"/>
      <c r="AD8" s="124"/>
      <c r="AE8" s="124"/>
      <c r="AF8" s="124"/>
      <c r="AG8" s="124"/>
      <c r="AH8" s="125"/>
      <c r="AI8" s="125"/>
      <c r="AJ8" s="125"/>
      <c r="AK8" s="125"/>
      <c r="AL8" s="124"/>
      <c r="AM8" s="124"/>
      <c r="AN8" s="125"/>
      <c r="AO8" s="125"/>
      <c r="AP8" s="125"/>
      <c r="AQ8" s="125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4"/>
      <c r="CF8" s="124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4"/>
      <c r="DT8" s="124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4"/>
      <c r="FH8" s="124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5"/>
      <c r="GC8" s="125"/>
      <c r="GD8" s="125"/>
      <c r="GE8" s="125"/>
      <c r="GF8" s="125"/>
      <c r="GG8" s="125"/>
      <c r="GH8" s="125"/>
      <c r="GI8" s="125"/>
      <c r="GJ8" s="125"/>
      <c r="GK8" s="125"/>
      <c r="GL8" s="125"/>
      <c r="GM8" s="125"/>
      <c r="GN8" s="125"/>
      <c r="GO8" s="125"/>
      <c r="GP8" s="125"/>
      <c r="GQ8" s="125"/>
      <c r="GR8" s="125"/>
      <c r="GS8" s="125"/>
      <c r="GT8" s="125"/>
      <c r="GU8" s="125"/>
      <c r="GV8" s="125"/>
      <c r="GW8" s="125"/>
      <c r="GX8" s="125"/>
      <c r="GY8" s="125"/>
      <c r="GZ8" s="125"/>
      <c r="HA8" s="125"/>
      <c r="HB8" s="125"/>
      <c r="HC8" s="125"/>
    </row>
    <row r="9" spans="1:211" s="138" customFormat="1">
      <c r="A9" s="133">
        <f t="shared" si="19"/>
        <v>4</v>
      </c>
      <c r="B9" s="139" t="str">
        <f t="shared" ref="B9:E10" si="23">MID(RIGHT(H9,8),1,7)</f>
        <v/>
      </c>
      <c r="C9" s="139" t="str">
        <f t="shared" si="23"/>
        <v/>
      </c>
      <c r="D9" s="139" t="str">
        <f t="shared" si="23"/>
        <v>SysX系込み</v>
      </c>
      <c r="E9" s="139" t="str">
        <f t="shared" si="23"/>
        <v/>
      </c>
      <c r="H9" s="131"/>
      <c r="I9" s="144"/>
      <c r="J9" s="131" t="s">
        <v>149</v>
      </c>
      <c r="K9" s="135"/>
      <c r="L9" s="136"/>
      <c r="M9" s="130"/>
      <c r="N9" s="134"/>
      <c r="O9" s="136"/>
      <c r="P9" s="136"/>
      <c r="Q9" s="136"/>
      <c r="R9" s="136"/>
      <c r="S9" s="137"/>
      <c r="T9" s="146">
        <v>41000</v>
      </c>
      <c r="U9" s="146"/>
      <c r="V9" s="129"/>
      <c r="W9" s="142" t="s">
        <v>77</v>
      </c>
      <c r="X9" s="146"/>
      <c r="Y9" s="146"/>
      <c r="Z9" s="132">
        <f ca="1">IF(SUM(AB9:HC9)=0,"",  SUM(AB9:HC9))</f>
        <v>7.5</v>
      </c>
      <c r="AA9" s="143"/>
      <c r="AB9" s="140" t="str">
        <f ca="1">IF($T9="","",IF($X9="",IF($T9&lt;TODAY(),"未着手","予定"),IF($Y9="",IF($U9&lt;TODAY(),"遅延","仕掛"),"完了")))</f>
        <v>未着手</v>
      </c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>
        <v>3</v>
      </c>
      <c r="AT9" s="145">
        <v>0.5</v>
      </c>
      <c r="AU9" s="145"/>
      <c r="AV9" s="145"/>
      <c r="AW9" s="145"/>
      <c r="AX9" s="145"/>
      <c r="AY9" s="145"/>
      <c r="AZ9" s="145"/>
      <c r="BA9" s="145"/>
      <c r="BB9" s="145"/>
      <c r="BC9" s="145"/>
      <c r="BD9" s="145"/>
      <c r="BE9" s="145"/>
      <c r="BF9" s="145"/>
      <c r="BG9" s="145"/>
      <c r="BH9" s="145"/>
      <c r="BI9" s="145"/>
      <c r="BJ9" s="145">
        <v>1.25</v>
      </c>
      <c r="BK9" s="145">
        <v>2</v>
      </c>
      <c r="BL9" s="145">
        <v>0.5</v>
      </c>
      <c r="BM9" s="145"/>
      <c r="BN9" s="145"/>
      <c r="BO9" s="145"/>
      <c r="BP9" s="145">
        <v>0.25</v>
      </c>
      <c r="BQ9" s="145"/>
      <c r="BR9" s="145"/>
      <c r="BS9" s="145"/>
      <c r="BT9" s="145"/>
      <c r="BU9" s="145"/>
      <c r="BV9" s="145"/>
      <c r="BW9" s="145"/>
      <c r="BX9" s="145"/>
      <c r="BY9" s="145"/>
      <c r="BZ9" s="145"/>
      <c r="CA9" s="145"/>
      <c r="CB9" s="145"/>
      <c r="CC9" s="145"/>
      <c r="CD9" s="145"/>
      <c r="CE9" s="145"/>
      <c r="CF9" s="145"/>
      <c r="CG9" s="145"/>
      <c r="CH9" s="145"/>
      <c r="CI9" s="145"/>
      <c r="CJ9" s="145"/>
      <c r="CK9" s="145"/>
      <c r="CL9" s="145"/>
      <c r="CM9" s="145"/>
      <c r="CN9" s="145"/>
      <c r="CO9" s="145"/>
      <c r="CP9" s="145"/>
      <c r="CQ9" s="145"/>
      <c r="CR9" s="145"/>
      <c r="CS9" s="145"/>
      <c r="CT9" s="145"/>
      <c r="CU9" s="145"/>
      <c r="CV9" s="145"/>
      <c r="CW9" s="145"/>
      <c r="CX9" s="145"/>
      <c r="CY9" s="145"/>
      <c r="CZ9" s="145"/>
      <c r="DA9" s="145"/>
      <c r="DB9" s="145"/>
      <c r="DC9" s="145"/>
      <c r="DD9" s="145"/>
      <c r="DE9" s="145"/>
      <c r="DF9" s="145"/>
      <c r="DG9" s="145"/>
      <c r="DH9" s="145"/>
      <c r="DI9" s="145"/>
      <c r="DJ9" s="145"/>
      <c r="DK9" s="145"/>
      <c r="DL9" s="145"/>
      <c r="DM9" s="145"/>
      <c r="DN9" s="145"/>
      <c r="DO9" s="145"/>
      <c r="DP9" s="145"/>
      <c r="DQ9" s="145"/>
      <c r="DR9" s="145"/>
      <c r="DS9" s="145"/>
      <c r="DT9" s="145"/>
      <c r="DU9" s="145"/>
      <c r="DV9" s="145"/>
      <c r="DW9" s="145"/>
      <c r="DX9" s="145"/>
      <c r="DY9" s="145"/>
      <c r="DZ9" s="145"/>
      <c r="EA9" s="145"/>
      <c r="EB9" s="145"/>
      <c r="EC9" s="145"/>
      <c r="ED9" s="145"/>
      <c r="EE9" s="145"/>
      <c r="EF9" s="145"/>
      <c r="EG9" s="145"/>
      <c r="EH9" s="145"/>
      <c r="EI9" s="145"/>
      <c r="EJ9" s="145"/>
      <c r="EK9" s="145"/>
      <c r="EL9" s="145"/>
      <c r="EM9" s="145"/>
      <c r="EN9" s="145"/>
      <c r="EO9" s="145"/>
      <c r="EP9" s="145"/>
      <c r="EQ9" s="145"/>
      <c r="ER9" s="145"/>
      <c r="ES9" s="145"/>
      <c r="ET9" s="145"/>
      <c r="EU9" s="145"/>
      <c r="EV9" s="145"/>
      <c r="EW9" s="145"/>
      <c r="EX9" s="145"/>
      <c r="EY9" s="145"/>
      <c r="EZ9" s="145"/>
      <c r="FA9" s="145"/>
      <c r="FB9" s="145"/>
      <c r="FC9" s="145"/>
      <c r="FD9" s="145"/>
      <c r="FE9" s="145"/>
      <c r="FF9" s="145"/>
      <c r="FG9" s="145"/>
      <c r="FH9" s="145"/>
      <c r="FI9" s="145"/>
      <c r="FJ9" s="145"/>
      <c r="FK9" s="145"/>
      <c r="FL9" s="145"/>
      <c r="FM9" s="145"/>
      <c r="FN9" s="145"/>
      <c r="FO9" s="145"/>
      <c r="FP9" s="145"/>
      <c r="FQ9" s="145"/>
      <c r="FR9" s="145"/>
      <c r="FS9" s="145"/>
      <c r="FT9" s="145"/>
      <c r="FU9" s="145"/>
      <c r="FV9" s="145"/>
      <c r="FW9" s="145"/>
      <c r="FX9" s="145"/>
      <c r="FY9" s="145"/>
      <c r="FZ9" s="145"/>
      <c r="GA9" s="145"/>
      <c r="GB9" s="141"/>
      <c r="GC9" s="141"/>
      <c r="GD9" s="141"/>
      <c r="GE9" s="141"/>
      <c r="GF9" s="141"/>
      <c r="GG9" s="141"/>
      <c r="GH9" s="141"/>
      <c r="GI9" s="141"/>
      <c r="GJ9" s="141"/>
      <c r="GK9" s="141"/>
      <c r="GL9" s="141"/>
      <c r="GM9" s="141"/>
      <c r="GN9" s="141"/>
      <c r="GO9" s="141"/>
      <c r="GP9" s="141"/>
      <c r="GQ9" s="141"/>
      <c r="GR9" s="141"/>
      <c r="GS9" s="141"/>
      <c r="GT9" s="141"/>
      <c r="GU9" s="141"/>
      <c r="GV9" s="141"/>
      <c r="GW9" s="141"/>
      <c r="GX9" s="141"/>
      <c r="GY9" s="141"/>
      <c r="GZ9" s="141"/>
      <c r="HA9" s="141"/>
      <c r="HB9" s="141"/>
      <c r="HC9" s="141"/>
    </row>
    <row r="10" spans="1:211" s="138" customFormat="1">
      <c r="A10" s="133">
        <f t="shared" si="19"/>
        <v>5</v>
      </c>
      <c r="B10" s="139" t="str">
        <f t="shared" si="23"/>
        <v/>
      </c>
      <c r="C10" s="139" t="str">
        <f t="shared" si="23"/>
        <v/>
      </c>
      <c r="D10" s="139" t="str">
        <f t="shared" si="23"/>
        <v>SysX系込み</v>
      </c>
      <c r="E10" s="139" t="str">
        <f t="shared" si="23"/>
        <v/>
      </c>
      <c r="H10" s="131"/>
      <c r="I10" s="144"/>
      <c r="J10" s="131" t="s">
        <v>86</v>
      </c>
      <c r="K10" s="135"/>
      <c r="L10" s="136"/>
      <c r="M10" s="130"/>
      <c r="N10" s="134"/>
      <c r="O10" s="136"/>
      <c r="P10" s="136"/>
      <c r="Q10" s="136"/>
      <c r="R10" s="136"/>
      <c r="S10" s="137"/>
      <c r="T10" s="146">
        <v>41000</v>
      </c>
      <c r="U10" s="146"/>
      <c r="V10" s="129"/>
      <c r="W10" s="142" t="s">
        <v>79</v>
      </c>
      <c r="X10" s="146"/>
      <c r="Y10" s="146"/>
      <c r="Z10" s="132">
        <f ca="1">IF(SUM(AB10:HC10)=0,"",  SUM(AB10:HC10))</f>
        <v>6</v>
      </c>
      <c r="AA10" s="143"/>
      <c r="AB10" s="140" t="str">
        <f ca="1">IF($T10="","",IF($X10="",IF($T10&lt;TODAY(),"未着手","予定"),IF($Y10="",IF($U10&lt;TODAY(),"遅延","仕掛"),"完了")))</f>
        <v>未着手</v>
      </c>
      <c r="AC10" s="145"/>
      <c r="AD10" s="145">
        <v>0.5</v>
      </c>
      <c r="AE10" s="145"/>
      <c r="AF10" s="145">
        <v>0.5</v>
      </c>
      <c r="AG10" s="145">
        <v>0.5</v>
      </c>
      <c r="AH10" s="145"/>
      <c r="AI10" s="145"/>
      <c r="AJ10" s="145">
        <v>1.5</v>
      </c>
      <c r="AK10" s="145">
        <v>0.5</v>
      </c>
      <c r="AL10" s="145"/>
      <c r="AM10" s="145">
        <v>0.5</v>
      </c>
      <c r="AN10" s="145"/>
      <c r="AO10" s="145"/>
      <c r="AP10" s="145"/>
      <c r="AQ10" s="145"/>
      <c r="AR10" s="145">
        <v>0.5</v>
      </c>
      <c r="AS10" s="145"/>
      <c r="AT10" s="145">
        <v>0.5</v>
      </c>
      <c r="AU10" s="145">
        <v>0.5</v>
      </c>
      <c r="AV10" s="145"/>
      <c r="AW10" s="145"/>
      <c r="AX10" s="145"/>
      <c r="AY10" s="145">
        <v>0.25</v>
      </c>
      <c r="AZ10" s="145"/>
      <c r="BA10" s="145">
        <v>0.25</v>
      </c>
      <c r="BB10" s="145"/>
      <c r="BC10" s="145"/>
      <c r="BD10" s="145"/>
      <c r="BE10" s="145"/>
      <c r="BF10" s="145"/>
      <c r="BG10" s="145"/>
      <c r="BH10" s="145"/>
      <c r="BI10" s="145"/>
      <c r="BJ10" s="145"/>
      <c r="BK10" s="145"/>
      <c r="BL10" s="145"/>
      <c r="BM10" s="145"/>
      <c r="BN10" s="145"/>
      <c r="BO10" s="145"/>
      <c r="BP10" s="145"/>
      <c r="BQ10" s="145"/>
      <c r="BR10" s="145"/>
      <c r="BS10" s="145"/>
      <c r="BT10" s="145"/>
      <c r="BU10" s="145"/>
      <c r="BV10" s="145"/>
      <c r="BW10" s="145"/>
      <c r="BX10" s="145"/>
      <c r="BY10" s="145"/>
      <c r="BZ10" s="145"/>
      <c r="CA10" s="145"/>
      <c r="CB10" s="145"/>
      <c r="CC10" s="145"/>
      <c r="CD10" s="145"/>
      <c r="CE10" s="145"/>
      <c r="CF10" s="145"/>
      <c r="CG10" s="145"/>
      <c r="CH10" s="145"/>
      <c r="CI10" s="145"/>
      <c r="CJ10" s="145"/>
      <c r="CK10" s="145"/>
      <c r="CL10" s="145"/>
      <c r="CM10" s="145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/>
      <c r="DF10" s="145"/>
      <c r="DG10" s="145"/>
      <c r="DH10" s="145"/>
      <c r="DI10" s="145"/>
      <c r="DJ10" s="145"/>
      <c r="DK10" s="145"/>
      <c r="DL10" s="145"/>
      <c r="DM10" s="145"/>
      <c r="DN10" s="145"/>
      <c r="DO10" s="145"/>
      <c r="DP10" s="145"/>
      <c r="DQ10" s="145"/>
      <c r="DR10" s="145"/>
      <c r="DS10" s="145"/>
      <c r="DT10" s="145"/>
      <c r="DU10" s="145"/>
      <c r="DV10" s="145"/>
      <c r="DW10" s="145"/>
      <c r="DX10" s="145"/>
      <c r="DY10" s="145"/>
      <c r="DZ10" s="145"/>
      <c r="EA10" s="145"/>
      <c r="EB10" s="145"/>
      <c r="EC10" s="145"/>
      <c r="ED10" s="145"/>
      <c r="EE10" s="145"/>
      <c r="EF10" s="145"/>
      <c r="EG10" s="145"/>
      <c r="EH10" s="145"/>
      <c r="EI10" s="145"/>
      <c r="EJ10" s="145"/>
      <c r="EK10" s="145"/>
      <c r="EL10" s="145"/>
      <c r="EM10" s="145"/>
      <c r="EN10" s="145"/>
      <c r="EO10" s="145"/>
      <c r="EP10" s="145"/>
      <c r="EQ10" s="145"/>
      <c r="ER10" s="145"/>
      <c r="ES10" s="145"/>
      <c r="ET10" s="145"/>
      <c r="EU10" s="145"/>
      <c r="EV10" s="145"/>
      <c r="EW10" s="145"/>
      <c r="EX10" s="145"/>
      <c r="EY10" s="145"/>
      <c r="EZ10" s="145"/>
      <c r="FA10" s="145"/>
      <c r="FB10" s="145"/>
      <c r="FC10" s="145"/>
      <c r="FD10" s="145"/>
      <c r="FE10" s="145"/>
      <c r="FF10" s="145"/>
      <c r="FG10" s="145"/>
      <c r="FH10" s="145"/>
      <c r="FI10" s="145"/>
      <c r="FJ10" s="145"/>
      <c r="FK10" s="145"/>
      <c r="FL10" s="145"/>
      <c r="FM10" s="145"/>
      <c r="FN10" s="145"/>
      <c r="FO10" s="145"/>
      <c r="FP10" s="145"/>
      <c r="FQ10" s="145"/>
      <c r="FR10" s="145"/>
      <c r="FS10" s="145"/>
      <c r="FT10" s="145"/>
      <c r="FU10" s="145"/>
      <c r="FV10" s="145"/>
      <c r="FW10" s="145"/>
      <c r="FX10" s="145"/>
      <c r="FY10" s="145"/>
      <c r="FZ10" s="145"/>
      <c r="GA10" s="145"/>
      <c r="GB10" s="141"/>
      <c r="GC10" s="141"/>
      <c r="GD10" s="141"/>
      <c r="GE10" s="141"/>
      <c r="GF10" s="141"/>
      <c r="GG10" s="141"/>
      <c r="GH10" s="141"/>
      <c r="GI10" s="141"/>
      <c r="GJ10" s="141"/>
      <c r="GK10" s="141"/>
      <c r="GL10" s="141"/>
      <c r="GM10" s="141"/>
      <c r="GN10" s="141"/>
      <c r="GO10" s="141"/>
      <c r="GP10" s="141"/>
      <c r="GQ10" s="141"/>
      <c r="GR10" s="141"/>
      <c r="GS10" s="141"/>
      <c r="GT10" s="141"/>
      <c r="GU10" s="141"/>
      <c r="GV10" s="141"/>
      <c r="GW10" s="141"/>
      <c r="GX10" s="141"/>
      <c r="GY10" s="141"/>
      <c r="GZ10" s="141"/>
      <c r="HA10" s="141"/>
      <c r="HB10" s="141"/>
      <c r="HC10" s="141"/>
    </row>
    <row r="11" spans="1:211" s="138" customFormat="1">
      <c r="A11" s="133">
        <f t="shared" si="19"/>
        <v>6</v>
      </c>
      <c r="B11" s="139" t="str">
        <f t="shared" ref="B11" si="24">MID(RIGHT(H11,8),1,7)</f>
        <v/>
      </c>
      <c r="C11" s="139" t="str">
        <f t="shared" ref="C11" si="25">MID(RIGHT(I11,8),1,7)</f>
        <v/>
      </c>
      <c r="D11" s="139" t="str">
        <f t="shared" ref="D11" si="26">MID(RIGHT(J11,8),1,7)</f>
        <v>SysX系込み</v>
      </c>
      <c r="E11" s="139" t="str">
        <f t="shared" ref="E11" si="27">MID(RIGHT(K11,8),1,7)</f>
        <v/>
      </c>
      <c r="H11" s="131"/>
      <c r="I11" s="144"/>
      <c r="J11" s="131" t="s">
        <v>86</v>
      </c>
      <c r="K11" s="135"/>
      <c r="L11" s="136"/>
      <c r="M11" s="130"/>
      <c r="N11" s="134"/>
      <c r="O11" s="136"/>
      <c r="P11" s="136"/>
      <c r="Q11" s="136"/>
      <c r="R11" s="136"/>
      <c r="S11" s="137"/>
      <c r="T11" s="146">
        <v>41037</v>
      </c>
      <c r="U11" s="146"/>
      <c r="V11" s="129"/>
      <c r="W11" s="142" t="s">
        <v>154</v>
      </c>
      <c r="X11" s="146"/>
      <c r="Y11" s="146"/>
      <c r="Z11" s="132">
        <f ca="1">IF(SUM(AB11:HC11)=0,"",  SUM(AB11:HC11))</f>
        <v>14.5</v>
      </c>
      <c r="AA11" s="143"/>
      <c r="AB11" s="140" t="str">
        <f ca="1">IF($T11="","",IF($X11="",IF($T11&lt;TODAY(),"未着手","予定"),IF($Y11="",IF($U11&lt;TODAY(),"遅延","仕掛"),"完了")))</f>
        <v>未着手</v>
      </c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145"/>
      <c r="AR11" s="145"/>
      <c r="AS11" s="145"/>
      <c r="AT11" s="145"/>
      <c r="AU11" s="145"/>
      <c r="AV11" s="145"/>
      <c r="AW11" s="145"/>
      <c r="AX11" s="145"/>
      <c r="AY11" s="145"/>
      <c r="AZ11" s="145"/>
      <c r="BA11" s="145"/>
      <c r="BB11" s="145"/>
      <c r="BC11" s="145"/>
      <c r="BD11" s="145"/>
      <c r="BE11" s="145"/>
      <c r="BF11" s="145"/>
      <c r="BG11" s="145"/>
      <c r="BH11" s="145"/>
      <c r="BI11" s="145"/>
      <c r="BJ11" s="145"/>
      <c r="BK11" s="145">
        <v>2</v>
      </c>
      <c r="BL11" s="145"/>
      <c r="BM11" s="145">
        <v>2</v>
      </c>
      <c r="BN11" s="145">
        <v>2</v>
      </c>
      <c r="BO11" s="145"/>
      <c r="BP11" s="145">
        <v>3.5</v>
      </c>
      <c r="BQ11" s="145"/>
      <c r="BR11" s="145">
        <v>1</v>
      </c>
      <c r="BS11" s="145"/>
      <c r="BT11" s="145"/>
      <c r="BU11" s="145">
        <v>1</v>
      </c>
      <c r="BV11" s="145"/>
      <c r="BW11" s="145">
        <v>1</v>
      </c>
      <c r="BX11" s="145"/>
      <c r="BY11" s="145"/>
      <c r="BZ11" s="145">
        <v>1</v>
      </c>
      <c r="CA11" s="145"/>
      <c r="CB11" s="145">
        <v>1</v>
      </c>
      <c r="CC11" s="145"/>
      <c r="CD11" s="145"/>
      <c r="CE11" s="145"/>
      <c r="CF11" s="145"/>
      <c r="CG11" s="145"/>
      <c r="CH11" s="145"/>
      <c r="CI11" s="145"/>
      <c r="CJ11" s="145"/>
      <c r="CK11" s="145"/>
      <c r="CL11" s="145"/>
      <c r="CM11" s="145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145"/>
      <c r="DC11" s="145"/>
      <c r="DD11" s="145"/>
      <c r="DE11" s="145"/>
      <c r="DF11" s="145"/>
      <c r="DG11" s="145"/>
      <c r="DH11" s="145"/>
      <c r="DI11" s="145"/>
      <c r="DJ11" s="145"/>
      <c r="DK11" s="145"/>
      <c r="DL11" s="145"/>
      <c r="DM11" s="145"/>
      <c r="DN11" s="145"/>
      <c r="DO11" s="145"/>
      <c r="DP11" s="145"/>
      <c r="DQ11" s="145"/>
      <c r="DR11" s="145"/>
      <c r="DS11" s="145"/>
      <c r="DT11" s="145"/>
      <c r="DU11" s="145"/>
      <c r="DV11" s="145"/>
      <c r="DW11" s="145"/>
      <c r="DX11" s="145"/>
      <c r="DY11" s="145"/>
      <c r="DZ11" s="145"/>
      <c r="EA11" s="145"/>
      <c r="EB11" s="145"/>
      <c r="EC11" s="145"/>
      <c r="ED11" s="145"/>
      <c r="EE11" s="145"/>
      <c r="EF11" s="145"/>
      <c r="EG11" s="145"/>
      <c r="EH11" s="145"/>
      <c r="EI11" s="145"/>
      <c r="EJ11" s="145"/>
      <c r="EK11" s="145"/>
      <c r="EL11" s="145"/>
      <c r="EM11" s="145"/>
      <c r="EN11" s="145"/>
      <c r="EO11" s="145"/>
      <c r="EP11" s="145"/>
      <c r="EQ11" s="145"/>
      <c r="ER11" s="145"/>
      <c r="ES11" s="145"/>
      <c r="ET11" s="145"/>
      <c r="EU11" s="145"/>
      <c r="EV11" s="145"/>
      <c r="EW11" s="145"/>
      <c r="EX11" s="145"/>
      <c r="EY11" s="145"/>
      <c r="EZ11" s="145"/>
      <c r="FA11" s="145"/>
      <c r="FB11" s="145"/>
      <c r="FC11" s="145"/>
      <c r="FD11" s="145"/>
      <c r="FE11" s="145"/>
      <c r="FF11" s="145"/>
      <c r="FG11" s="145"/>
      <c r="FH11" s="145"/>
      <c r="FI11" s="145"/>
      <c r="FJ11" s="145"/>
      <c r="FK11" s="145"/>
      <c r="FL11" s="145"/>
      <c r="FM11" s="145"/>
      <c r="FN11" s="145"/>
      <c r="FO11" s="145"/>
      <c r="FP11" s="145"/>
      <c r="FQ11" s="145"/>
      <c r="FR11" s="145"/>
      <c r="FS11" s="145"/>
      <c r="FT11" s="145"/>
      <c r="FU11" s="145"/>
      <c r="FV11" s="145"/>
      <c r="FW11" s="145"/>
      <c r="FX11" s="145"/>
      <c r="FY11" s="145"/>
      <c r="FZ11" s="145"/>
      <c r="GA11" s="145"/>
      <c r="GB11" s="141"/>
      <c r="GC11" s="141"/>
      <c r="GD11" s="141"/>
      <c r="GE11" s="141"/>
      <c r="GF11" s="141"/>
      <c r="GG11" s="141"/>
      <c r="GH11" s="141"/>
      <c r="GI11" s="141"/>
      <c r="GJ11" s="141"/>
      <c r="GK11" s="141"/>
      <c r="GL11" s="141"/>
      <c r="GM11" s="141"/>
      <c r="GN11" s="141"/>
      <c r="GO11" s="141"/>
      <c r="GP11" s="141"/>
      <c r="GQ11" s="141"/>
      <c r="GR11" s="141"/>
      <c r="GS11" s="141"/>
      <c r="GT11" s="141"/>
      <c r="GU11" s="141"/>
      <c r="GV11" s="141"/>
      <c r="GW11" s="141"/>
      <c r="GX11" s="141"/>
      <c r="GY11" s="141"/>
      <c r="GZ11" s="141"/>
      <c r="HA11" s="141"/>
      <c r="HB11" s="141"/>
      <c r="HC11" s="141"/>
    </row>
    <row r="12" spans="1:211" s="138" customFormat="1">
      <c r="A12" s="133">
        <f t="shared" si="19"/>
        <v>7</v>
      </c>
      <c r="B12" s="139" t="str">
        <f t="shared" ref="B12" si="28">MID(RIGHT(H12,8),1,7)</f>
        <v/>
      </c>
      <c r="C12" s="139" t="str">
        <f t="shared" ref="C12" si="29">MID(RIGHT(I12,8),1,7)</f>
        <v/>
      </c>
      <c r="D12" s="139" t="str">
        <f t="shared" ref="D12" si="30">MID(RIGHT(J12,8),1,7)</f>
        <v>SysX系込み</v>
      </c>
      <c r="E12" s="139" t="str">
        <f t="shared" ref="E12" si="31">MID(RIGHT(K12,8),1,7)</f>
        <v/>
      </c>
      <c r="H12" s="131"/>
      <c r="I12" s="144"/>
      <c r="J12" s="131" t="s">
        <v>86</v>
      </c>
      <c r="K12" s="135"/>
      <c r="L12" s="136"/>
      <c r="M12" s="130"/>
      <c r="N12" s="134"/>
      <c r="O12" s="136"/>
      <c r="P12" s="136"/>
      <c r="Q12" s="136"/>
      <c r="R12" s="136"/>
      <c r="S12" s="137"/>
      <c r="T12" s="146"/>
      <c r="U12" s="146"/>
      <c r="V12" s="129"/>
      <c r="W12" s="142" t="s">
        <v>167</v>
      </c>
      <c r="X12" s="146"/>
      <c r="Y12" s="146"/>
      <c r="Z12" s="132">
        <f ca="1">IF(SUM(AB12:HC12)=0,"",  SUM(AB12:HC12))</f>
        <v>1.5</v>
      </c>
      <c r="AA12" s="143"/>
      <c r="AB12" s="140" t="str">
        <f ca="1">IF($T12="","",IF($X12="",IF($T12&lt;TODAY(),"未着手","予定"),IF($Y12="",IF($U12&lt;TODAY(),"遅延","仕掛"),"完了")))</f>
        <v/>
      </c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5"/>
      <c r="AP12" s="145"/>
      <c r="AQ12" s="145"/>
      <c r="AR12" s="145"/>
      <c r="AS12" s="145"/>
      <c r="AT12" s="145"/>
      <c r="AU12" s="145"/>
      <c r="AV12" s="145"/>
      <c r="AW12" s="145"/>
      <c r="AX12" s="145"/>
      <c r="AY12" s="145"/>
      <c r="AZ12" s="145"/>
      <c r="BA12" s="145"/>
      <c r="BB12" s="145"/>
      <c r="BC12" s="145"/>
      <c r="BD12" s="145"/>
      <c r="BE12" s="145"/>
      <c r="BF12" s="145"/>
      <c r="BG12" s="145"/>
      <c r="BH12" s="145"/>
      <c r="BI12" s="145"/>
      <c r="BJ12" s="145"/>
      <c r="BK12" s="145"/>
      <c r="BL12" s="145"/>
      <c r="BM12" s="145"/>
      <c r="BN12" s="145"/>
      <c r="BO12" s="145"/>
      <c r="BP12" s="145"/>
      <c r="BQ12" s="145"/>
      <c r="BR12" s="145"/>
      <c r="BS12" s="145"/>
      <c r="BT12" s="145"/>
      <c r="BU12" s="145"/>
      <c r="BV12" s="145"/>
      <c r="BW12" s="145"/>
      <c r="BX12" s="145"/>
      <c r="BY12" s="145"/>
      <c r="BZ12" s="145"/>
      <c r="CA12" s="145"/>
      <c r="CB12" s="145"/>
      <c r="CC12" s="145">
        <v>0.25</v>
      </c>
      <c r="CD12" s="145"/>
      <c r="CE12" s="145">
        <v>0.25</v>
      </c>
      <c r="CF12" s="145">
        <v>0.75</v>
      </c>
      <c r="CG12" s="145">
        <v>0.25</v>
      </c>
      <c r="CH12" s="145"/>
      <c r="CI12" s="145"/>
      <c r="CJ12" s="145"/>
      <c r="CK12" s="145"/>
      <c r="CL12" s="145"/>
      <c r="CM12" s="145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145"/>
      <c r="DG12" s="145"/>
      <c r="DH12" s="145"/>
      <c r="DI12" s="145"/>
      <c r="DJ12" s="145"/>
      <c r="DK12" s="145"/>
      <c r="DL12" s="145"/>
      <c r="DM12" s="145"/>
      <c r="DN12" s="145"/>
      <c r="DO12" s="145"/>
      <c r="DP12" s="145"/>
      <c r="DQ12" s="145"/>
      <c r="DR12" s="145"/>
      <c r="DS12" s="145"/>
      <c r="DT12" s="145"/>
      <c r="DU12" s="145"/>
      <c r="DV12" s="145"/>
      <c r="DW12" s="145"/>
      <c r="DX12" s="145"/>
      <c r="DY12" s="145"/>
      <c r="DZ12" s="145"/>
      <c r="EA12" s="145"/>
      <c r="EB12" s="145"/>
      <c r="EC12" s="145"/>
      <c r="ED12" s="145"/>
      <c r="EE12" s="145"/>
      <c r="EF12" s="145"/>
      <c r="EG12" s="145"/>
      <c r="EH12" s="145"/>
      <c r="EI12" s="145"/>
      <c r="EJ12" s="145"/>
      <c r="EK12" s="145"/>
      <c r="EL12" s="145"/>
      <c r="EM12" s="145"/>
      <c r="EN12" s="145"/>
      <c r="EO12" s="145"/>
      <c r="EP12" s="145"/>
      <c r="EQ12" s="145"/>
      <c r="ER12" s="145"/>
      <c r="ES12" s="145"/>
      <c r="ET12" s="145"/>
      <c r="EU12" s="145"/>
      <c r="EV12" s="145"/>
      <c r="EW12" s="145"/>
      <c r="EX12" s="145"/>
      <c r="EY12" s="145"/>
      <c r="EZ12" s="145"/>
      <c r="FA12" s="145"/>
      <c r="FB12" s="145"/>
      <c r="FC12" s="145"/>
      <c r="FD12" s="145"/>
      <c r="FE12" s="145"/>
      <c r="FF12" s="145"/>
      <c r="FG12" s="145"/>
      <c r="FH12" s="145"/>
      <c r="FI12" s="145"/>
      <c r="FJ12" s="145"/>
      <c r="FK12" s="145"/>
      <c r="FL12" s="145"/>
      <c r="FM12" s="145"/>
      <c r="FN12" s="145"/>
      <c r="FO12" s="145"/>
      <c r="FP12" s="145"/>
      <c r="FQ12" s="145"/>
      <c r="FR12" s="145"/>
      <c r="FS12" s="145"/>
      <c r="FT12" s="145"/>
      <c r="FU12" s="145"/>
      <c r="FV12" s="145"/>
      <c r="FW12" s="145"/>
      <c r="FX12" s="145"/>
      <c r="FY12" s="145"/>
      <c r="FZ12" s="145"/>
      <c r="GA12" s="145"/>
      <c r="GB12" s="141"/>
      <c r="GC12" s="141"/>
      <c r="GD12" s="141"/>
      <c r="GE12" s="141"/>
      <c r="GF12" s="141"/>
      <c r="GG12" s="141"/>
      <c r="GH12" s="141"/>
      <c r="GI12" s="141"/>
      <c r="GJ12" s="141"/>
      <c r="GK12" s="141"/>
      <c r="GL12" s="141"/>
      <c r="GM12" s="141"/>
      <c r="GN12" s="141"/>
      <c r="GO12" s="141"/>
      <c r="GP12" s="141"/>
      <c r="GQ12" s="141"/>
      <c r="GR12" s="141"/>
      <c r="GS12" s="141"/>
      <c r="GT12" s="141"/>
      <c r="GU12" s="141"/>
      <c r="GV12" s="141"/>
      <c r="GW12" s="141"/>
      <c r="GX12" s="141"/>
      <c r="GY12" s="141"/>
      <c r="GZ12" s="141"/>
      <c r="HA12" s="141"/>
      <c r="HB12" s="141"/>
      <c r="HC12" s="141"/>
    </row>
    <row r="13" spans="1:211" s="138" customFormat="1">
      <c r="A13" s="133">
        <f t="shared" si="19"/>
        <v>8</v>
      </c>
      <c r="B13" s="139" t="str">
        <f t="shared" ref="B13" si="32">MID(RIGHT(H13,8),1,7)</f>
        <v/>
      </c>
      <c r="C13" s="139" t="str">
        <f t="shared" ref="C13" si="33">MID(RIGHT(I13,8),1,7)</f>
        <v/>
      </c>
      <c r="D13" s="139" t="str">
        <f t="shared" ref="D13" si="34">MID(RIGHT(J13,8),1,7)</f>
        <v>SysX系込み</v>
      </c>
      <c r="E13" s="139" t="str">
        <f t="shared" ref="E13" si="35">MID(RIGHT(K13,8),1,7)</f>
        <v/>
      </c>
      <c r="H13" s="131"/>
      <c r="I13" s="144"/>
      <c r="J13" s="131" t="s">
        <v>86</v>
      </c>
      <c r="K13" s="135"/>
      <c r="L13" s="136"/>
      <c r="M13" s="130"/>
      <c r="N13" s="134"/>
      <c r="O13" s="136"/>
      <c r="P13" s="136"/>
      <c r="Q13" s="136"/>
      <c r="R13" s="136"/>
      <c r="S13" s="137"/>
      <c r="T13" s="146"/>
      <c r="U13" s="146"/>
      <c r="V13" s="129"/>
      <c r="W13" s="142" t="s">
        <v>169</v>
      </c>
      <c r="X13" s="146"/>
      <c r="Y13" s="146"/>
      <c r="Z13" s="132">
        <f ca="1">IF(SUM(AB13:HC13)=0,"",  SUM(AB13:HC13))</f>
        <v>1</v>
      </c>
      <c r="AA13" s="143"/>
      <c r="AB13" s="140" t="str">
        <f ca="1">IF($T13="","",IF($X13="",IF($T13&lt;TODAY(),"未着手","予定"),IF($Y13="",IF($U13&lt;TODAY(),"遅延","仕掛"),"完了")))</f>
        <v/>
      </c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5"/>
      <c r="AQ13" s="145"/>
      <c r="AR13" s="145"/>
      <c r="AS13" s="145"/>
      <c r="AT13" s="145"/>
      <c r="AU13" s="145"/>
      <c r="AV13" s="145"/>
      <c r="AW13" s="145"/>
      <c r="AX13" s="145"/>
      <c r="AY13" s="145"/>
      <c r="AZ13" s="145"/>
      <c r="BA13" s="145"/>
      <c r="BB13" s="145"/>
      <c r="BC13" s="145"/>
      <c r="BD13" s="145"/>
      <c r="BE13" s="145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5"/>
      <c r="BQ13" s="145"/>
      <c r="BR13" s="145"/>
      <c r="BS13" s="145"/>
      <c r="BT13" s="145"/>
      <c r="BU13" s="145"/>
      <c r="BV13" s="145"/>
      <c r="BW13" s="145"/>
      <c r="BX13" s="145"/>
      <c r="BY13" s="145"/>
      <c r="BZ13" s="145"/>
      <c r="CA13" s="145"/>
      <c r="CB13" s="145"/>
      <c r="CC13" s="145"/>
      <c r="CD13" s="145"/>
      <c r="CE13" s="145"/>
      <c r="CF13" s="145"/>
      <c r="CG13" s="145"/>
      <c r="CH13" s="145"/>
      <c r="CI13" s="145"/>
      <c r="CJ13" s="145"/>
      <c r="CK13" s="145"/>
      <c r="CL13" s="145">
        <v>1</v>
      </c>
      <c r="CM13" s="145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145"/>
      <c r="DG13" s="145"/>
      <c r="DH13" s="145"/>
      <c r="DI13" s="145"/>
      <c r="DJ13" s="145"/>
      <c r="DK13" s="145"/>
      <c r="DL13" s="145"/>
      <c r="DM13" s="145"/>
      <c r="DN13" s="145"/>
      <c r="DO13" s="145"/>
      <c r="DP13" s="145"/>
      <c r="DQ13" s="145"/>
      <c r="DR13" s="145"/>
      <c r="DS13" s="145"/>
      <c r="DT13" s="145"/>
      <c r="DU13" s="145"/>
      <c r="DV13" s="145"/>
      <c r="DW13" s="145"/>
      <c r="DX13" s="145"/>
      <c r="DY13" s="145"/>
      <c r="DZ13" s="145"/>
      <c r="EA13" s="145"/>
      <c r="EB13" s="145"/>
      <c r="EC13" s="145"/>
      <c r="ED13" s="145"/>
      <c r="EE13" s="145"/>
      <c r="EF13" s="145"/>
      <c r="EG13" s="145"/>
      <c r="EH13" s="145"/>
      <c r="EI13" s="145"/>
      <c r="EJ13" s="145"/>
      <c r="EK13" s="145"/>
      <c r="EL13" s="145"/>
      <c r="EM13" s="145"/>
      <c r="EN13" s="145"/>
      <c r="EO13" s="145"/>
      <c r="EP13" s="145"/>
      <c r="EQ13" s="145"/>
      <c r="ER13" s="145"/>
      <c r="ES13" s="145"/>
      <c r="ET13" s="145"/>
      <c r="EU13" s="145"/>
      <c r="EV13" s="145"/>
      <c r="EW13" s="145"/>
      <c r="EX13" s="145"/>
      <c r="EY13" s="145"/>
      <c r="EZ13" s="145"/>
      <c r="FA13" s="145"/>
      <c r="FB13" s="145"/>
      <c r="FC13" s="145"/>
      <c r="FD13" s="145"/>
      <c r="FE13" s="145"/>
      <c r="FF13" s="145"/>
      <c r="FG13" s="145"/>
      <c r="FH13" s="145"/>
      <c r="FI13" s="145"/>
      <c r="FJ13" s="145"/>
      <c r="FK13" s="145"/>
      <c r="FL13" s="145"/>
      <c r="FM13" s="145"/>
      <c r="FN13" s="145"/>
      <c r="FO13" s="145"/>
      <c r="FP13" s="145"/>
      <c r="FQ13" s="145"/>
      <c r="FR13" s="145"/>
      <c r="FS13" s="145"/>
      <c r="FT13" s="145"/>
      <c r="FU13" s="145"/>
      <c r="FV13" s="145"/>
      <c r="FW13" s="145"/>
      <c r="FX13" s="145"/>
      <c r="FY13" s="145"/>
      <c r="FZ13" s="145"/>
      <c r="GA13" s="145"/>
      <c r="GB13" s="141"/>
      <c r="GC13" s="141"/>
      <c r="GD13" s="141"/>
      <c r="GE13" s="141"/>
      <c r="GF13" s="141"/>
      <c r="GG13" s="141"/>
      <c r="GH13" s="141"/>
      <c r="GI13" s="141"/>
      <c r="GJ13" s="141"/>
      <c r="GK13" s="141"/>
      <c r="GL13" s="141"/>
      <c r="GM13" s="141"/>
      <c r="GN13" s="141"/>
      <c r="GO13" s="141"/>
      <c r="GP13" s="141"/>
      <c r="GQ13" s="141"/>
      <c r="GR13" s="141"/>
      <c r="GS13" s="141"/>
      <c r="GT13" s="141"/>
      <c r="GU13" s="141"/>
      <c r="GV13" s="141"/>
      <c r="GW13" s="141"/>
      <c r="GX13" s="141"/>
      <c r="GY13" s="141"/>
      <c r="GZ13" s="141"/>
      <c r="HA13" s="141"/>
      <c r="HB13" s="141"/>
      <c r="HC13" s="141"/>
    </row>
    <row r="14" spans="1:211" s="111" customFormat="1">
      <c r="A14" s="109">
        <f t="shared" si="19"/>
        <v>9</v>
      </c>
      <c r="B14" s="110" t="str">
        <f>MID(RIGHT(G14,8),1,7)</f>
        <v/>
      </c>
      <c r="C14" s="110" t="str">
        <f>MID(RIGHT(H14,8),1,7)</f>
        <v/>
      </c>
      <c r="D14" s="110" t="str">
        <f>MID(RIGHT(I14,8),1,7)</f>
        <v>習熟環境管理</v>
      </c>
      <c r="E14" s="110" t="str">
        <f>MID(RIGHT(J14,8),1,7)</f>
        <v/>
      </c>
      <c r="H14" s="112"/>
      <c r="I14" s="127" t="s">
        <v>87</v>
      </c>
      <c r="J14" s="113"/>
      <c r="K14" s="114"/>
      <c r="L14" s="115"/>
      <c r="M14" s="116"/>
      <c r="N14" s="117"/>
      <c r="O14" s="115"/>
      <c r="P14" s="115"/>
      <c r="Q14" s="115"/>
      <c r="R14" s="115"/>
      <c r="S14" s="118"/>
      <c r="T14" s="119"/>
      <c r="U14" s="119"/>
      <c r="V14" s="120"/>
      <c r="W14" s="121"/>
      <c r="X14" s="119"/>
      <c r="Y14" s="119"/>
      <c r="Z14" s="122">
        <f ca="1">SUM(Z15:Z15)</f>
        <v>0.75</v>
      </c>
      <c r="AA14" s="128"/>
      <c r="AB14" s="123"/>
      <c r="AC14" s="124"/>
      <c r="AD14" s="124"/>
      <c r="AE14" s="124"/>
      <c r="AF14" s="124"/>
      <c r="AG14" s="124"/>
      <c r="AH14" s="125"/>
      <c r="AI14" s="125"/>
      <c r="AJ14" s="125"/>
      <c r="AK14" s="125"/>
      <c r="AL14" s="124"/>
      <c r="AM14" s="124"/>
      <c r="AN14" s="125"/>
      <c r="AO14" s="125"/>
      <c r="AP14" s="125"/>
      <c r="AQ14" s="125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4"/>
      <c r="CZ14" s="124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4"/>
      <c r="DR14" s="124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4"/>
      <c r="EP14" s="124"/>
      <c r="EQ14" s="124"/>
      <c r="ER14" s="124"/>
      <c r="ES14" s="124"/>
      <c r="ET14" s="124"/>
      <c r="EU14" s="124"/>
      <c r="EV14" s="124"/>
      <c r="EW14" s="124"/>
      <c r="EX14" s="124"/>
      <c r="EY14" s="124"/>
      <c r="EZ14" s="124"/>
      <c r="FA14" s="124"/>
      <c r="FB14" s="124"/>
      <c r="FC14" s="124"/>
      <c r="FD14" s="124"/>
      <c r="FE14" s="124"/>
      <c r="FF14" s="124"/>
      <c r="FG14" s="124"/>
      <c r="FH14" s="124"/>
      <c r="FI14" s="124"/>
      <c r="FJ14" s="124"/>
      <c r="FK14" s="124"/>
      <c r="FL14" s="124"/>
      <c r="FM14" s="124"/>
      <c r="FN14" s="124"/>
      <c r="FO14" s="124"/>
      <c r="FP14" s="124"/>
      <c r="FQ14" s="124"/>
      <c r="FR14" s="124"/>
      <c r="FS14" s="124"/>
      <c r="FT14" s="124"/>
      <c r="FU14" s="124"/>
      <c r="FV14" s="124"/>
      <c r="FW14" s="124"/>
      <c r="FX14" s="124"/>
      <c r="FY14" s="124"/>
      <c r="FZ14" s="124"/>
      <c r="GA14" s="124"/>
      <c r="GB14" s="125"/>
      <c r="GC14" s="125"/>
      <c r="GD14" s="125"/>
      <c r="GE14" s="125"/>
      <c r="GF14" s="125"/>
      <c r="GG14" s="125"/>
      <c r="GH14" s="125"/>
      <c r="GI14" s="125"/>
      <c r="GJ14" s="125"/>
      <c r="GK14" s="125"/>
      <c r="GL14" s="125"/>
      <c r="GM14" s="125"/>
      <c r="GN14" s="125"/>
      <c r="GO14" s="125"/>
      <c r="GP14" s="125"/>
      <c r="GQ14" s="125"/>
      <c r="GR14" s="125"/>
      <c r="GS14" s="125"/>
      <c r="GT14" s="125"/>
      <c r="GU14" s="125"/>
      <c r="GV14" s="125"/>
      <c r="GW14" s="125"/>
      <c r="GX14" s="125"/>
      <c r="GY14" s="125"/>
      <c r="GZ14" s="125"/>
      <c r="HA14" s="125"/>
      <c r="HB14" s="125"/>
      <c r="HC14" s="125"/>
    </row>
    <row r="15" spans="1:211" s="138" customFormat="1">
      <c r="A15" s="133">
        <f t="shared" si="19"/>
        <v>10</v>
      </c>
      <c r="B15" s="139" t="str">
        <f t="shared" ref="B15:E18" si="36">MID(RIGHT(H15,8),1,7)</f>
        <v/>
      </c>
      <c r="C15" s="139" t="str">
        <f t="shared" si="36"/>
        <v/>
      </c>
      <c r="D15" s="139" t="str">
        <f t="shared" si="36"/>
        <v>リリース</v>
      </c>
      <c r="E15" s="139" t="str">
        <f t="shared" si="36"/>
        <v/>
      </c>
      <c r="H15" s="131"/>
      <c r="I15" s="144"/>
      <c r="J15" s="131" t="s">
        <v>88</v>
      </c>
      <c r="K15" s="135"/>
      <c r="L15" s="136"/>
      <c r="M15" s="130"/>
      <c r="N15" s="134"/>
      <c r="O15" s="136"/>
      <c r="P15" s="136"/>
      <c r="Q15" s="136"/>
      <c r="R15" s="136"/>
      <c r="S15" s="137"/>
      <c r="T15" s="146">
        <v>41000</v>
      </c>
      <c r="U15" s="146"/>
      <c r="V15" s="129"/>
      <c r="W15" s="142" t="s">
        <v>77</v>
      </c>
      <c r="X15" s="146"/>
      <c r="Y15" s="146"/>
      <c r="Z15" s="132">
        <f t="shared" ref="Z15:Z20" ca="1" si="37">IF(SUM(AB15:HC15)=0,"",  SUM(AB15:HC15))</f>
        <v>0.75</v>
      </c>
      <c r="AA15" s="143"/>
      <c r="AB15" s="140" t="str">
        <f t="shared" ref="AB15:AB21" ca="1" si="38">IF($T15="","",IF($X15="",IF($T15&lt;TODAY(),"未着手","予定"),IF($Y15="",IF($U15&lt;TODAY(),"遅延","仕掛"),"完了")))</f>
        <v>未着手</v>
      </c>
      <c r="AC15" s="145"/>
      <c r="AD15" s="145"/>
      <c r="AE15" s="145"/>
      <c r="AF15" s="145"/>
      <c r="AG15" s="145"/>
      <c r="AH15" s="145"/>
      <c r="AI15" s="145"/>
      <c r="AJ15" s="145"/>
      <c r="AK15" s="145"/>
      <c r="AL15" s="145">
        <v>0.75</v>
      </c>
      <c r="AM15" s="145"/>
      <c r="AN15" s="145"/>
      <c r="AO15" s="145"/>
      <c r="AP15" s="145"/>
      <c r="AQ15" s="145"/>
      <c r="AR15" s="145"/>
      <c r="AS15" s="145"/>
      <c r="AT15" s="145"/>
      <c r="AU15" s="145"/>
      <c r="AV15" s="145"/>
      <c r="AW15" s="145"/>
      <c r="AX15" s="145"/>
      <c r="AY15" s="145"/>
      <c r="AZ15" s="145"/>
      <c r="BA15" s="145"/>
      <c r="BB15" s="145"/>
      <c r="BC15" s="145"/>
      <c r="BD15" s="145"/>
      <c r="BE15" s="145"/>
      <c r="BF15" s="145"/>
      <c r="BG15" s="145"/>
      <c r="BH15" s="145"/>
      <c r="BI15" s="145"/>
      <c r="BJ15" s="145"/>
      <c r="BK15" s="145"/>
      <c r="BL15" s="145"/>
      <c r="BM15" s="145"/>
      <c r="BN15" s="145"/>
      <c r="BO15" s="145"/>
      <c r="BP15" s="145"/>
      <c r="BQ15" s="145"/>
      <c r="BR15" s="145"/>
      <c r="BS15" s="145"/>
      <c r="BT15" s="145"/>
      <c r="BU15" s="145"/>
      <c r="BV15" s="145"/>
      <c r="BW15" s="145"/>
      <c r="BX15" s="145"/>
      <c r="BY15" s="145"/>
      <c r="BZ15" s="145"/>
      <c r="CA15" s="145"/>
      <c r="CB15" s="145"/>
      <c r="CC15" s="145"/>
      <c r="CD15" s="145"/>
      <c r="CE15" s="145"/>
      <c r="CF15" s="145"/>
      <c r="CG15" s="145"/>
      <c r="CH15" s="145"/>
      <c r="CI15" s="145"/>
      <c r="CJ15" s="145"/>
      <c r="CK15" s="145"/>
      <c r="CL15" s="145"/>
      <c r="CM15" s="145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145"/>
      <c r="DG15" s="145"/>
      <c r="DH15" s="145"/>
      <c r="DI15" s="145"/>
      <c r="DJ15" s="145"/>
      <c r="DK15" s="145"/>
      <c r="DL15" s="145"/>
      <c r="DM15" s="145"/>
      <c r="DN15" s="145"/>
      <c r="DO15" s="145"/>
      <c r="DP15" s="145"/>
      <c r="DQ15" s="145"/>
      <c r="DR15" s="145"/>
      <c r="DS15" s="145"/>
      <c r="DT15" s="145"/>
      <c r="DU15" s="145"/>
      <c r="DV15" s="145"/>
      <c r="DW15" s="145"/>
      <c r="DX15" s="145"/>
      <c r="DY15" s="145"/>
      <c r="DZ15" s="145"/>
      <c r="EA15" s="145"/>
      <c r="EB15" s="145"/>
      <c r="EC15" s="145"/>
      <c r="ED15" s="145"/>
      <c r="EE15" s="145"/>
      <c r="EF15" s="145"/>
      <c r="EG15" s="145"/>
      <c r="EH15" s="145"/>
      <c r="EI15" s="145"/>
      <c r="EJ15" s="145"/>
      <c r="EK15" s="145"/>
      <c r="EL15" s="145"/>
      <c r="EM15" s="145"/>
      <c r="EN15" s="145"/>
      <c r="EO15" s="145"/>
      <c r="EP15" s="145"/>
      <c r="EQ15" s="145"/>
      <c r="ER15" s="145"/>
      <c r="ES15" s="145"/>
      <c r="ET15" s="145"/>
      <c r="EU15" s="145"/>
      <c r="EV15" s="145"/>
      <c r="EW15" s="145"/>
      <c r="EX15" s="145"/>
      <c r="EY15" s="145"/>
      <c r="EZ15" s="145"/>
      <c r="FA15" s="145"/>
      <c r="FB15" s="145"/>
      <c r="FC15" s="145"/>
      <c r="FD15" s="145"/>
      <c r="FE15" s="145"/>
      <c r="FF15" s="145"/>
      <c r="FG15" s="145"/>
      <c r="FH15" s="145"/>
      <c r="FI15" s="145"/>
      <c r="FJ15" s="145"/>
      <c r="FK15" s="145"/>
      <c r="FL15" s="145"/>
      <c r="FM15" s="145"/>
      <c r="FN15" s="145"/>
      <c r="FO15" s="145"/>
      <c r="FP15" s="145"/>
      <c r="FQ15" s="145"/>
      <c r="FR15" s="145"/>
      <c r="FS15" s="145"/>
      <c r="FT15" s="145"/>
      <c r="FU15" s="145"/>
      <c r="FV15" s="145"/>
      <c r="FW15" s="145"/>
      <c r="FX15" s="145"/>
      <c r="FY15" s="145"/>
      <c r="FZ15" s="145"/>
      <c r="GA15" s="145"/>
      <c r="GB15" s="141"/>
      <c r="GC15" s="141"/>
      <c r="GD15" s="141"/>
      <c r="GE15" s="141"/>
      <c r="GF15" s="141"/>
      <c r="GG15" s="141"/>
      <c r="GH15" s="141"/>
      <c r="GI15" s="141"/>
      <c r="GJ15" s="141"/>
      <c r="GK15" s="141"/>
      <c r="GL15" s="141"/>
      <c r="GM15" s="141"/>
      <c r="GN15" s="141"/>
      <c r="GO15" s="141"/>
      <c r="GP15" s="141"/>
      <c r="GQ15" s="141"/>
      <c r="GR15" s="141"/>
      <c r="GS15" s="141"/>
      <c r="GT15" s="141"/>
      <c r="GU15" s="141"/>
      <c r="GV15" s="141"/>
      <c r="GW15" s="141"/>
      <c r="GX15" s="141"/>
      <c r="GY15" s="141"/>
      <c r="GZ15" s="141"/>
      <c r="HA15" s="141"/>
      <c r="HB15" s="141"/>
      <c r="HC15" s="141"/>
    </row>
    <row r="16" spans="1:211" s="138" customFormat="1">
      <c r="A16" s="133">
        <f t="shared" si="19"/>
        <v>11</v>
      </c>
      <c r="B16" s="139" t="str">
        <f t="shared" si="36"/>
        <v/>
      </c>
      <c r="C16" s="139" t="str">
        <f t="shared" si="36"/>
        <v/>
      </c>
      <c r="D16" s="139" t="str">
        <f t="shared" si="36"/>
        <v>幅洗替えリリー</v>
      </c>
      <c r="E16" s="139" t="str">
        <f t="shared" si="36"/>
        <v/>
      </c>
      <c r="H16" s="131"/>
      <c r="I16" s="144"/>
      <c r="J16" s="131" t="s">
        <v>89</v>
      </c>
      <c r="K16" s="135"/>
      <c r="L16" s="136"/>
      <c r="M16" s="130"/>
      <c r="N16" s="134"/>
      <c r="O16" s="136"/>
      <c r="P16" s="136"/>
      <c r="Q16" s="136"/>
      <c r="R16" s="136"/>
      <c r="S16" s="137"/>
      <c r="T16" s="146">
        <v>41000</v>
      </c>
      <c r="U16" s="146"/>
      <c r="V16" s="129"/>
      <c r="W16" s="142" t="s">
        <v>72</v>
      </c>
      <c r="X16" s="146"/>
      <c r="Y16" s="146"/>
      <c r="Z16" s="132">
        <f t="shared" ca="1" si="37"/>
        <v>5.25</v>
      </c>
      <c r="AA16" s="143"/>
      <c r="AB16" s="140" t="str">
        <f t="shared" ca="1" si="38"/>
        <v>未着手</v>
      </c>
      <c r="AC16" s="145"/>
      <c r="AD16" s="145"/>
      <c r="AE16" s="145"/>
      <c r="AF16" s="145"/>
      <c r="AG16" s="145"/>
      <c r="AH16" s="145"/>
      <c r="AI16" s="145"/>
      <c r="AJ16" s="145"/>
      <c r="AK16" s="145"/>
      <c r="AL16" s="145"/>
      <c r="AM16" s="145"/>
      <c r="AN16" s="145"/>
      <c r="AO16" s="145"/>
      <c r="AP16" s="145"/>
      <c r="AQ16" s="145"/>
      <c r="AR16" s="145"/>
      <c r="AS16" s="145"/>
      <c r="AT16" s="145"/>
      <c r="AU16" s="145"/>
      <c r="AV16" s="145"/>
      <c r="AW16" s="145"/>
      <c r="AX16" s="145"/>
      <c r="AY16" s="145"/>
      <c r="AZ16" s="145"/>
      <c r="BA16" s="145"/>
      <c r="BB16" s="145"/>
      <c r="BC16" s="145"/>
      <c r="BD16" s="145"/>
      <c r="BE16" s="145"/>
      <c r="BF16" s="145"/>
      <c r="BG16" s="145"/>
      <c r="BH16" s="145"/>
      <c r="BI16" s="145"/>
      <c r="BJ16" s="145"/>
      <c r="BK16" s="145"/>
      <c r="BL16" s="145"/>
      <c r="BM16" s="145"/>
      <c r="BN16" s="145"/>
      <c r="BO16" s="145"/>
      <c r="BP16" s="145">
        <v>5.25</v>
      </c>
      <c r="BQ16" s="145"/>
      <c r="BR16" s="145"/>
      <c r="BS16" s="145"/>
      <c r="BT16" s="145"/>
      <c r="BU16" s="145"/>
      <c r="BV16" s="145"/>
      <c r="BW16" s="145"/>
      <c r="BX16" s="145"/>
      <c r="BY16" s="145"/>
      <c r="BZ16" s="145"/>
      <c r="CA16" s="145"/>
      <c r="CB16" s="145"/>
      <c r="CC16" s="145"/>
      <c r="CD16" s="145"/>
      <c r="CE16" s="145"/>
      <c r="CF16" s="145"/>
      <c r="CG16" s="145"/>
      <c r="CH16" s="145"/>
      <c r="CI16" s="145"/>
      <c r="CJ16" s="145"/>
      <c r="CK16" s="145"/>
      <c r="CL16" s="145"/>
      <c r="CM16" s="145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  <c r="DO16" s="145"/>
      <c r="DP16" s="145"/>
      <c r="DQ16" s="145"/>
      <c r="DR16" s="145"/>
      <c r="DS16" s="145"/>
      <c r="DT16" s="145"/>
      <c r="DU16" s="145"/>
      <c r="DV16" s="145"/>
      <c r="DW16" s="145"/>
      <c r="DX16" s="145"/>
      <c r="DY16" s="145"/>
      <c r="DZ16" s="145"/>
      <c r="EA16" s="145"/>
      <c r="EB16" s="145"/>
      <c r="EC16" s="145"/>
      <c r="ED16" s="145"/>
      <c r="EE16" s="145"/>
      <c r="EF16" s="145"/>
      <c r="EG16" s="145"/>
      <c r="EH16" s="145"/>
      <c r="EI16" s="145"/>
      <c r="EJ16" s="145"/>
      <c r="EK16" s="145"/>
      <c r="EL16" s="145"/>
      <c r="EM16" s="145"/>
      <c r="EN16" s="145"/>
      <c r="EO16" s="145"/>
      <c r="EP16" s="145"/>
      <c r="EQ16" s="145"/>
      <c r="ER16" s="145"/>
      <c r="ES16" s="145"/>
      <c r="ET16" s="145"/>
      <c r="EU16" s="145"/>
      <c r="EV16" s="145"/>
      <c r="EW16" s="145"/>
      <c r="EX16" s="145"/>
      <c r="EY16" s="145"/>
      <c r="EZ16" s="145"/>
      <c r="FA16" s="145"/>
      <c r="FB16" s="145"/>
      <c r="FC16" s="145"/>
      <c r="FD16" s="145"/>
      <c r="FE16" s="145"/>
      <c r="FF16" s="145"/>
      <c r="FG16" s="145"/>
      <c r="FH16" s="145"/>
      <c r="FI16" s="145"/>
      <c r="FJ16" s="145"/>
      <c r="FK16" s="145"/>
      <c r="FL16" s="145"/>
      <c r="FM16" s="145"/>
      <c r="FN16" s="145"/>
      <c r="FO16" s="145"/>
      <c r="FP16" s="145"/>
      <c r="FQ16" s="145"/>
      <c r="FR16" s="145"/>
      <c r="FS16" s="145"/>
      <c r="FT16" s="145"/>
      <c r="FU16" s="145"/>
      <c r="FV16" s="145"/>
      <c r="FW16" s="145"/>
      <c r="FX16" s="145"/>
      <c r="FY16" s="145"/>
      <c r="FZ16" s="145"/>
      <c r="GA16" s="145"/>
      <c r="GB16" s="141"/>
      <c r="GC16" s="141"/>
      <c r="GD16" s="141"/>
      <c r="GE16" s="141"/>
      <c r="GF16" s="141"/>
      <c r="GG16" s="141"/>
      <c r="GH16" s="141"/>
      <c r="GI16" s="141"/>
      <c r="GJ16" s="141"/>
      <c r="GK16" s="141"/>
      <c r="GL16" s="141"/>
      <c r="GM16" s="141"/>
      <c r="GN16" s="141"/>
      <c r="GO16" s="141"/>
      <c r="GP16" s="141"/>
      <c r="GQ16" s="141"/>
      <c r="GR16" s="141"/>
      <c r="GS16" s="141"/>
      <c r="GT16" s="141"/>
      <c r="GU16" s="141"/>
      <c r="GV16" s="141"/>
      <c r="GW16" s="141"/>
      <c r="GX16" s="141"/>
      <c r="GY16" s="141"/>
      <c r="GZ16" s="141"/>
      <c r="HA16" s="141"/>
      <c r="HB16" s="141"/>
      <c r="HC16" s="141"/>
    </row>
    <row r="17" spans="1:211" s="138" customFormat="1">
      <c r="A17" s="133">
        <f t="shared" si="19"/>
        <v>12</v>
      </c>
      <c r="B17" s="139" t="str">
        <f t="shared" si="36"/>
        <v/>
      </c>
      <c r="C17" s="139" t="str">
        <f t="shared" si="36"/>
        <v/>
      </c>
      <c r="D17" s="139" t="str">
        <f t="shared" si="36"/>
        <v>リリース</v>
      </c>
      <c r="E17" s="139" t="str">
        <f t="shared" si="36"/>
        <v/>
      </c>
      <c r="H17" s="131"/>
      <c r="I17" s="144"/>
      <c r="J17" s="131" t="s">
        <v>88</v>
      </c>
      <c r="K17" s="135"/>
      <c r="L17" s="136"/>
      <c r="M17" s="130"/>
      <c r="N17" s="134"/>
      <c r="O17" s="136"/>
      <c r="P17" s="136"/>
      <c r="Q17" s="136"/>
      <c r="R17" s="136"/>
      <c r="S17" s="137"/>
      <c r="T17" s="146">
        <v>41000</v>
      </c>
      <c r="U17" s="146"/>
      <c r="V17" s="129"/>
      <c r="W17" s="142" t="s">
        <v>46</v>
      </c>
      <c r="X17" s="146"/>
      <c r="Y17" s="146"/>
      <c r="Z17" s="132">
        <f t="shared" ca="1" si="37"/>
        <v>23.5</v>
      </c>
      <c r="AA17" s="143"/>
      <c r="AB17" s="140" t="str">
        <f t="shared" ca="1" si="38"/>
        <v>未着手</v>
      </c>
      <c r="AC17" s="145">
        <v>1</v>
      </c>
      <c r="AD17" s="145"/>
      <c r="AE17" s="145"/>
      <c r="AF17" s="145">
        <v>2</v>
      </c>
      <c r="AG17" s="145">
        <v>5</v>
      </c>
      <c r="AH17" s="145"/>
      <c r="AI17" s="145"/>
      <c r="AJ17" s="145">
        <v>1.5</v>
      </c>
      <c r="AK17" s="145">
        <v>2</v>
      </c>
      <c r="AL17" s="145">
        <v>3.5</v>
      </c>
      <c r="AM17" s="145">
        <v>2</v>
      </c>
      <c r="AN17" s="145"/>
      <c r="AO17" s="145"/>
      <c r="AP17" s="145"/>
      <c r="AQ17" s="145"/>
      <c r="AR17" s="145"/>
      <c r="AS17" s="145">
        <v>1</v>
      </c>
      <c r="AT17" s="145"/>
      <c r="AU17" s="145">
        <v>2</v>
      </c>
      <c r="AV17" s="145"/>
      <c r="AW17" s="145"/>
      <c r="AX17" s="145"/>
      <c r="AY17" s="145">
        <v>2.5</v>
      </c>
      <c r="AZ17" s="145"/>
      <c r="BA17" s="145">
        <v>1</v>
      </c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145"/>
      <c r="DG17" s="145"/>
      <c r="DH17" s="145"/>
      <c r="DI17" s="145"/>
      <c r="DJ17" s="145"/>
      <c r="DK17" s="145"/>
      <c r="DL17" s="145"/>
      <c r="DM17" s="145"/>
      <c r="DN17" s="145"/>
      <c r="DO17" s="145"/>
      <c r="DP17" s="145"/>
      <c r="DQ17" s="145"/>
      <c r="DR17" s="145"/>
      <c r="DS17" s="145"/>
      <c r="DT17" s="145"/>
      <c r="DU17" s="145"/>
      <c r="DV17" s="145"/>
      <c r="DW17" s="145"/>
      <c r="DX17" s="145"/>
      <c r="DY17" s="145"/>
      <c r="DZ17" s="145"/>
      <c r="EA17" s="145"/>
      <c r="EB17" s="145"/>
      <c r="EC17" s="145"/>
      <c r="ED17" s="145"/>
      <c r="EE17" s="145"/>
      <c r="EF17" s="145"/>
      <c r="EG17" s="145"/>
      <c r="EH17" s="145"/>
      <c r="EI17" s="145"/>
      <c r="EJ17" s="145"/>
      <c r="EK17" s="145"/>
      <c r="EL17" s="145"/>
      <c r="EM17" s="145"/>
      <c r="EN17" s="145"/>
      <c r="EO17" s="145"/>
      <c r="EP17" s="145"/>
      <c r="EQ17" s="145"/>
      <c r="ER17" s="145"/>
      <c r="ES17" s="145"/>
      <c r="ET17" s="145"/>
      <c r="EU17" s="145"/>
      <c r="EV17" s="145"/>
      <c r="EW17" s="145"/>
      <c r="EX17" s="145"/>
      <c r="EY17" s="145"/>
      <c r="EZ17" s="145"/>
      <c r="FA17" s="145"/>
      <c r="FB17" s="145"/>
      <c r="FC17" s="145"/>
      <c r="FD17" s="145"/>
      <c r="FE17" s="145"/>
      <c r="FF17" s="145"/>
      <c r="FG17" s="145"/>
      <c r="FH17" s="145"/>
      <c r="FI17" s="145"/>
      <c r="FJ17" s="145"/>
      <c r="FK17" s="145"/>
      <c r="FL17" s="145"/>
      <c r="FM17" s="145"/>
      <c r="FN17" s="145"/>
      <c r="FO17" s="145"/>
      <c r="FP17" s="145"/>
      <c r="FQ17" s="145"/>
      <c r="FR17" s="145"/>
      <c r="FS17" s="145"/>
      <c r="FT17" s="145"/>
      <c r="FU17" s="145"/>
      <c r="FV17" s="145"/>
      <c r="FW17" s="145"/>
      <c r="FX17" s="145"/>
      <c r="FY17" s="145"/>
      <c r="FZ17" s="145"/>
      <c r="GA17" s="145"/>
      <c r="GB17" s="141"/>
      <c r="GC17" s="141"/>
      <c r="GD17" s="141"/>
      <c r="GE17" s="141"/>
      <c r="GF17" s="141"/>
      <c r="GG17" s="141"/>
      <c r="GH17" s="141"/>
      <c r="GI17" s="141"/>
      <c r="GJ17" s="141"/>
      <c r="GK17" s="141"/>
      <c r="GL17" s="141"/>
      <c r="GM17" s="141"/>
      <c r="GN17" s="141"/>
      <c r="GO17" s="141"/>
      <c r="GP17" s="141"/>
      <c r="GQ17" s="141"/>
      <c r="GR17" s="141"/>
      <c r="GS17" s="141"/>
      <c r="GT17" s="141"/>
      <c r="GU17" s="141"/>
      <c r="GV17" s="141"/>
      <c r="GW17" s="141"/>
      <c r="GX17" s="141"/>
      <c r="GY17" s="141"/>
      <c r="GZ17" s="141"/>
      <c r="HA17" s="141"/>
      <c r="HB17" s="141"/>
      <c r="HC17" s="141"/>
    </row>
    <row r="18" spans="1:211" s="138" customFormat="1">
      <c r="A18" s="133">
        <f t="shared" si="19"/>
        <v>13</v>
      </c>
      <c r="B18" s="139" t="str">
        <f t="shared" si="36"/>
        <v/>
      </c>
      <c r="C18" s="139" t="str">
        <f t="shared" si="36"/>
        <v/>
      </c>
      <c r="D18" s="139" t="str">
        <f t="shared" si="36"/>
        <v>幅洗替えリリー</v>
      </c>
      <c r="E18" s="139" t="str">
        <f t="shared" si="36"/>
        <v/>
      </c>
      <c r="H18" s="131"/>
      <c r="I18" s="144"/>
      <c r="J18" s="131" t="s">
        <v>89</v>
      </c>
      <c r="K18" s="135"/>
      <c r="L18" s="136"/>
      <c r="M18" s="130"/>
      <c r="N18" s="134"/>
      <c r="O18" s="136"/>
      <c r="P18" s="136"/>
      <c r="Q18" s="136"/>
      <c r="R18" s="136"/>
      <c r="S18" s="137"/>
      <c r="T18" s="146">
        <v>41000</v>
      </c>
      <c r="U18" s="146"/>
      <c r="V18" s="129"/>
      <c r="W18" s="142" t="s">
        <v>46</v>
      </c>
      <c r="X18" s="146"/>
      <c r="Y18" s="146"/>
      <c r="Z18" s="132" t="str">
        <f t="shared" ca="1" si="37"/>
        <v/>
      </c>
      <c r="AA18" s="143"/>
      <c r="AB18" s="140" t="str">
        <f t="shared" ca="1" si="38"/>
        <v>未着手</v>
      </c>
      <c r="AC18" s="145"/>
      <c r="AD18" s="145"/>
      <c r="AE18" s="145"/>
      <c r="AF18" s="145"/>
      <c r="AG18" s="145"/>
      <c r="AH18" s="145"/>
      <c r="AI18" s="145"/>
      <c r="AJ18" s="145"/>
      <c r="AK18" s="145"/>
      <c r="AL18" s="145"/>
      <c r="AM18" s="145"/>
      <c r="AN18" s="145"/>
      <c r="AO18" s="145"/>
      <c r="AP18" s="145"/>
      <c r="AQ18" s="145"/>
      <c r="AR18" s="145"/>
      <c r="AS18" s="145"/>
      <c r="AT18" s="145"/>
      <c r="AU18" s="145"/>
      <c r="AV18" s="145"/>
      <c r="AW18" s="145"/>
      <c r="AX18" s="145"/>
      <c r="AY18" s="145"/>
      <c r="AZ18" s="145"/>
      <c r="BA18" s="145"/>
      <c r="BB18" s="145"/>
      <c r="BC18" s="145"/>
      <c r="BD18" s="145"/>
      <c r="BE18" s="145"/>
      <c r="BF18" s="145"/>
      <c r="BG18" s="145"/>
      <c r="BH18" s="145"/>
      <c r="BI18" s="145"/>
      <c r="BJ18" s="145"/>
      <c r="BK18" s="145"/>
      <c r="BL18" s="145"/>
      <c r="BM18" s="145"/>
      <c r="BN18" s="145"/>
      <c r="BO18" s="145"/>
      <c r="BP18" s="145"/>
      <c r="BQ18" s="145"/>
      <c r="BR18" s="145"/>
      <c r="BS18" s="145"/>
      <c r="BT18" s="145"/>
      <c r="BU18" s="145"/>
      <c r="BV18" s="145"/>
      <c r="BW18" s="145"/>
      <c r="BX18" s="145"/>
      <c r="BY18" s="145"/>
      <c r="BZ18" s="145"/>
      <c r="CA18" s="145"/>
      <c r="CB18" s="145"/>
      <c r="CC18" s="145"/>
      <c r="CD18" s="145"/>
      <c r="CE18" s="145"/>
      <c r="CF18" s="145"/>
      <c r="CG18" s="145"/>
      <c r="CH18" s="145"/>
      <c r="CI18" s="145"/>
      <c r="CJ18" s="145"/>
      <c r="CK18" s="145"/>
      <c r="CL18" s="145"/>
      <c r="CM18" s="145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145"/>
      <c r="DG18" s="145"/>
      <c r="DH18" s="145"/>
      <c r="DI18" s="145"/>
      <c r="DJ18" s="145"/>
      <c r="DK18" s="145"/>
      <c r="DL18" s="145"/>
      <c r="DM18" s="145"/>
      <c r="DN18" s="145"/>
      <c r="DO18" s="145"/>
      <c r="DP18" s="145"/>
      <c r="DQ18" s="145"/>
      <c r="DR18" s="145"/>
      <c r="DS18" s="145"/>
      <c r="DT18" s="145"/>
      <c r="DU18" s="145"/>
      <c r="DV18" s="145"/>
      <c r="DW18" s="145"/>
      <c r="DX18" s="145"/>
      <c r="DY18" s="145"/>
      <c r="DZ18" s="145"/>
      <c r="EA18" s="145"/>
      <c r="EB18" s="145"/>
      <c r="EC18" s="145"/>
      <c r="ED18" s="145"/>
      <c r="EE18" s="145"/>
      <c r="EF18" s="145"/>
      <c r="EG18" s="145"/>
      <c r="EH18" s="145"/>
      <c r="EI18" s="145"/>
      <c r="EJ18" s="145"/>
      <c r="EK18" s="145"/>
      <c r="EL18" s="145"/>
      <c r="EM18" s="145"/>
      <c r="EN18" s="145"/>
      <c r="EO18" s="145"/>
      <c r="EP18" s="145"/>
      <c r="EQ18" s="145"/>
      <c r="ER18" s="145"/>
      <c r="ES18" s="145"/>
      <c r="ET18" s="145"/>
      <c r="EU18" s="145"/>
      <c r="EV18" s="145"/>
      <c r="EW18" s="145"/>
      <c r="EX18" s="145"/>
      <c r="EY18" s="145"/>
      <c r="EZ18" s="145"/>
      <c r="FA18" s="145"/>
      <c r="FB18" s="145"/>
      <c r="FC18" s="145"/>
      <c r="FD18" s="145"/>
      <c r="FE18" s="145"/>
      <c r="FF18" s="145"/>
      <c r="FG18" s="145"/>
      <c r="FH18" s="145"/>
      <c r="FI18" s="145"/>
      <c r="FJ18" s="145"/>
      <c r="FK18" s="145"/>
      <c r="FL18" s="145"/>
      <c r="FM18" s="145"/>
      <c r="FN18" s="145"/>
      <c r="FO18" s="145"/>
      <c r="FP18" s="145"/>
      <c r="FQ18" s="145"/>
      <c r="FR18" s="145"/>
      <c r="FS18" s="145"/>
      <c r="FT18" s="145"/>
      <c r="FU18" s="145"/>
      <c r="FV18" s="145"/>
      <c r="FW18" s="145"/>
      <c r="FX18" s="145"/>
      <c r="FY18" s="145"/>
      <c r="FZ18" s="145"/>
      <c r="GA18" s="145"/>
      <c r="GB18" s="141"/>
      <c r="GC18" s="141"/>
      <c r="GD18" s="141"/>
      <c r="GE18" s="141"/>
      <c r="GF18" s="141"/>
      <c r="GG18" s="141"/>
      <c r="GH18" s="141"/>
      <c r="GI18" s="141"/>
      <c r="GJ18" s="141"/>
      <c r="GK18" s="141"/>
      <c r="GL18" s="141"/>
      <c r="GM18" s="141"/>
      <c r="GN18" s="141"/>
      <c r="GO18" s="141"/>
      <c r="GP18" s="141"/>
      <c r="GQ18" s="141"/>
      <c r="GR18" s="141"/>
      <c r="GS18" s="141"/>
      <c r="GT18" s="141"/>
      <c r="GU18" s="141"/>
      <c r="GV18" s="141"/>
      <c r="GW18" s="141"/>
      <c r="GX18" s="141"/>
      <c r="GY18" s="141"/>
      <c r="GZ18" s="141"/>
      <c r="HA18" s="141"/>
      <c r="HB18" s="141"/>
      <c r="HC18" s="141"/>
    </row>
    <row r="19" spans="1:211" s="138" customFormat="1">
      <c r="A19" s="133">
        <f t="shared" si="19"/>
        <v>14</v>
      </c>
      <c r="B19" s="139" t="str">
        <f t="shared" ref="B19:B20" si="39">MID(RIGHT(H19,8),1,7)</f>
        <v/>
      </c>
      <c r="C19" s="139" t="str">
        <f t="shared" ref="C19:C20" si="40">MID(RIGHT(I19,8),1,7)</f>
        <v/>
      </c>
      <c r="D19" s="139" t="str">
        <f t="shared" ref="D19:D20" si="41">MID(RIGHT(J19,8),1,7)</f>
        <v>リリース</v>
      </c>
      <c r="E19" s="139" t="str">
        <f t="shared" ref="E19:E20" si="42">MID(RIGHT(K19,8),1,7)</f>
        <v/>
      </c>
      <c r="H19" s="131"/>
      <c r="I19" s="144"/>
      <c r="J19" s="131" t="s">
        <v>88</v>
      </c>
      <c r="K19" s="135"/>
      <c r="L19" s="136"/>
      <c r="M19" s="130"/>
      <c r="N19" s="134"/>
      <c r="O19" s="136"/>
      <c r="P19" s="136"/>
      <c r="Q19" s="136"/>
      <c r="R19" s="136"/>
      <c r="S19" s="137"/>
      <c r="T19" s="146">
        <v>41036</v>
      </c>
      <c r="U19" s="146"/>
      <c r="V19" s="129"/>
      <c r="W19" s="142" t="s">
        <v>156</v>
      </c>
      <c r="X19" s="146"/>
      <c r="Y19" s="146"/>
      <c r="Z19" s="132">
        <f t="shared" ca="1" si="37"/>
        <v>14</v>
      </c>
      <c r="AA19" s="143"/>
      <c r="AB19" s="140" t="str">
        <f t="shared" ca="1" si="38"/>
        <v>未着手</v>
      </c>
      <c r="AC19" s="145"/>
      <c r="AD19" s="145"/>
      <c r="AE19" s="145"/>
      <c r="AF19" s="145"/>
      <c r="AG19" s="145"/>
      <c r="AH19" s="145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45"/>
      <c r="AT19" s="145"/>
      <c r="AU19" s="145"/>
      <c r="AV19" s="145"/>
      <c r="AW19" s="145"/>
      <c r="AX19" s="145"/>
      <c r="AY19" s="145"/>
      <c r="AZ19" s="145"/>
      <c r="BA19" s="145"/>
      <c r="BB19" s="145"/>
      <c r="BC19" s="145"/>
      <c r="BD19" s="145"/>
      <c r="BE19" s="145"/>
      <c r="BF19" s="145"/>
      <c r="BG19" s="145"/>
      <c r="BH19" s="145"/>
      <c r="BI19" s="145"/>
      <c r="BJ19" s="145">
        <v>2.5</v>
      </c>
      <c r="BK19" s="145">
        <v>1.5</v>
      </c>
      <c r="BL19" s="145">
        <v>1.5</v>
      </c>
      <c r="BM19" s="145"/>
      <c r="BN19" s="145">
        <v>1</v>
      </c>
      <c r="BO19" s="145"/>
      <c r="BP19" s="145"/>
      <c r="BQ19" s="145">
        <v>2.5</v>
      </c>
      <c r="BR19" s="145"/>
      <c r="BS19" s="145">
        <v>3</v>
      </c>
      <c r="BT19" s="145"/>
      <c r="BU19" s="145">
        <v>0.5</v>
      </c>
      <c r="BV19" s="145"/>
      <c r="BW19" s="145"/>
      <c r="BX19" s="145"/>
      <c r="BY19" s="145"/>
      <c r="BZ19" s="145">
        <v>1.5</v>
      </c>
      <c r="CA19" s="145"/>
      <c r="CB19" s="145"/>
      <c r="CC19" s="145"/>
      <c r="CD19" s="145"/>
      <c r="CE19" s="145"/>
      <c r="CF19" s="145"/>
      <c r="CG19" s="145"/>
      <c r="CH19" s="145"/>
      <c r="CI19" s="145"/>
      <c r="CJ19" s="145"/>
      <c r="CK19" s="145"/>
      <c r="CL19" s="145"/>
      <c r="CM19" s="145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145"/>
      <c r="DG19" s="145"/>
      <c r="DH19" s="145"/>
      <c r="DI19" s="145"/>
      <c r="DJ19" s="145"/>
      <c r="DK19" s="145"/>
      <c r="DL19" s="145"/>
      <c r="DM19" s="145"/>
      <c r="DN19" s="145"/>
      <c r="DO19" s="145"/>
      <c r="DP19" s="145"/>
      <c r="DQ19" s="145"/>
      <c r="DR19" s="145"/>
      <c r="DS19" s="145"/>
      <c r="DT19" s="145"/>
      <c r="DU19" s="145"/>
      <c r="DV19" s="145"/>
      <c r="DW19" s="145"/>
      <c r="DX19" s="145"/>
      <c r="DY19" s="145"/>
      <c r="DZ19" s="145"/>
      <c r="EA19" s="145"/>
      <c r="EB19" s="145"/>
      <c r="EC19" s="145"/>
      <c r="ED19" s="145"/>
      <c r="EE19" s="145"/>
      <c r="EF19" s="145"/>
      <c r="EG19" s="145"/>
      <c r="EH19" s="145"/>
      <c r="EI19" s="145"/>
      <c r="EJ19" s="145"/>
      <c r="EK19" s="145"/>
      <c r="EL19" s="145"/>
      <c r="EM19" s="145"/>
      <c r="EN19" s="145"/>
      <c r="EO19" s="145"/>
      <c r="EP19" s="145"/>
      <c r="EQ19" s="145"/>
      <c r="ER19" s="145"/>
      <c r="ES19" s="145"/>
      <c r="ET19" s="145"/>
      <c r="EU19" s="145"/>
      <c r="EV19" s="145"/>
      <c r="EW19" s="145"/>
      <c r="EX19" s="145"/>
      <c r="EY19" s="145"/>
      <c r="EZ19" s="145"/>
      <c r="FA19" s="145"/>
      <c r="FB19" s="145"/>
      <c r="FC19" s="145"/>
      <c r="FD19" s="145"/>
      <c r="FE19" s="145"/>
      <c r="FF19" s="145"/>
      <c r="FG19" s="145"/>
      <c r="FH19" s="145"/>
      <c r="FI19" s="145"/>
      <c r="FJ19" s="145"/>
      <c r="FK19" s="145"/>
      <c r="FL19" s="145"/>
      <c r="FM19" s="145"/>
      <c r="FN19" s="145"/>
      <c r="FO19" s="145"/>
      <c r="FP19" s="145"/>
      <c r="FQ19" s="145"/>
      <c r="FR19" s="145"/>
      <c r="FS19" s="145"/>
      <c r="FT19" s="145"/>
      <c r="FU19" s="145"/>
      <c r="FV19" s="145"/>
      <c r="FW19" s="145"/>
      <c r="FX19" s="145"/>
      <c r="FY19" s="145"/>
      <c r="FZ19" s="145"/>
      <c r="GA19" s="145"/>
      <c r="GB19" s="141"/>
      <c r="GC19" s="141"/>
      <c r="GD19" s="141"/>
      <c r="GE19" s="141"/>
      <c r="GF19" s="141"/>
      <c r="GG19" s="141"/>
      <c r="GH19" s="141"/>
      <c r="GI19" s="141"/>
      <c r="GJ19" s="141"/>
      <c r="GK19" s="141"/>
      <c r="GL19" s="141"/>
      <c r="GM19" s="141"/>
      <c r="GN19" s="141"/>
      <c r="GO19" s="141"/>
      <c r="GP19" s="141"/>
      <c r="GQ19" s="141"/>
      <c r="GR19" s="141"/>
      <c r="GS19" s="141"/>
      <c r="GT19" s="141"/>
      <c r="GU19" s="141"/>
      <c r="GV19" s="141"/>
      <c r="GW19" s="141"/>
      <c r="GX19" s="141"/>
      <c r="GY19" s="141"/>
      <c r="GZ19" s="141"/>
      <c r="HA19" s="141"/>
      <c r="HB19" s="141"/>
      <c r="HC19" s="141"/>
    </row>
    <row r="20" spans="1:211" s="138" customFormat="1">
      <c r="A20" s="133">
        <f t="shared" si="19"/>
        <v>15</v>
      </c>
      <c r="B20" s="139" t="str">
        <f t="shared" si="39"/>
        <v/>
      </c>
      <c r="C20" s="139" t="str">
        <f t="shared" si="40"/>
        <v/>
      </c>
      <c r="D20" s="139" t="str">
        <f t="shared" si="41"/>
        <v>幅洗替えリリー</v>
      </c>
      <c r="E20" s="139" t="str">
        <f t="shared" si="42"/>
        <v/>
      </c>
      <c r="H20" s="131"/>
      <c r="I20" s="144"/>
      <c r="J20" s="131" t="s">
        <v>89</v>
      </c>
      <c r="K20" s="135"/>
      <c r="L20" s="136"/>
      <c r="M20" s="130"/>
      <c r="N20" s="134"/>
      <c r="O20" s="136"/>
      <c r="P20" s="136"/>
      <c r="Q20" s="136"/>
      <c r="R20" s="136"/>
      <c r="S20" s="137"/>
      <c r="T20" s="146"/>
      <c r="U20" s="146"/>
      <c r="V20" s="129"/>
      <c r="W20" s="142" t="s">
        <v>157</v>
      </c>
      <c r="X20" s="146"/>
      <c r="Y20" s="146"/>
      <c r="Z20" s="132">
        <f t="shared" ca="1" si="37"/>
        <v>6.5</v>
      </c>
      <c r="AA20" s="143"/>
      <c r="AB20" s="140" t="str">
        <f t="shared" ca="1" si="38"/>
        <v/>
      </c>
      <c r="AC20" s="145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5"/>
      <c r="AQ20" s="145"/>
      <c r="AR20" s="145"/>
      <c r="AS20" s="145"/>
      <c r="AT20" s="145"/>
      <c r="AU20" s="145"/>
      <c r="AV20" s="145"/>
      <c r="AW20" s="145"/>
      <c r="AX20" s="145"/>
      <c r="AY20" s="145"/>
      <c r="AZ20" s="145"/>
      <c r="BA20" s="145"/>
      <c r="BB20" s="145"/>
      <c r="BC20" s="145"/>
      <c r="BD20" s="145"/>
      <c r="BE20" s="145"/>
      <c r="BF20" s="145"/>
      <c r="BG20" s="145"/>
      <c r="BH20" s="145"/>
      <c r="BI20" s="145"/>
      <c r="BJ20" s="145"/>
      <c r="BK20" s="145"/>
      <c r="BL20" s="145"/>
      <c r="BM20" s="145"/>
      <c r="BN20" s="145"/>
      <c r="BO20" s="145"/>
      <c r="BP20" s="145">
        <v>6.5</v>
      </c>
      <c r="BQ20" s="145"/>
      <c r="BR20" s="145"/>
      <c r="BS20" s="145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5"/>
      <c r="CG20" s="145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  <c r="DO20" s="145"/>
      <c r="DP20" s="145"/>
      <c r="DQ20" s="145"/>
      <c r="DR20" s="145"/>
      <c r="DS20" s="145"/>
      <c r="DT20" s="145"/>
      <c r="DU20" s="145"/>
      <c r="DV20" s="145"/>
      <c r="DW20" s="145"/>
      <c r="DX20" s="145"/>
      <c r="DY20" s="145"/>
      <c r="DZ20" s="145"/>
      <c r="EA20" s="145"/>
      <c r="EB20" s="145"/>
      <c r="EC20" s="145"/>
      <c r="ED20" s="145"/>
      <c r="EE20" s="145"/>
      <c r="EF20" s="145"/>
      <c r="EG20" s="145"/>
      <c r="EH20" s="145"/>
      <c r="EI20" s="145"/>
      <c r="EJ20" s="145"/>
      <c r="EK20" s="145"/>
      <c r="EL20" s="145"/>
      <c r="EM20" s="145"/>
      <c r="EN20" s="145"/>
      <c r="EO20" s="145"/>
      <c r="EP20" s="145"/>
      <c r="EQ20" s="145"/>
      <c r="ER20" s="145"/>
      <c r="ES20" s="145"/>
      <c r="ET20" s="145"/>
      <c r="EU20" s="145"/>
      <c r="EV20" s="145"/>
      <c r="EW20" s="145"/>
      <c r="EX20" s="145"/>
      <c r="EY20" s="145"/>
      <c r="EZ20" s="145"/>
      <c r="FA20" s="145"/>
      <c r="FB20" s="145"/>
      <c r="FC20" s="145"/>
      <c r="FD20" s="145"/>
      <c r="FE20" s="145"/>
      <c r="FF20" s="145"/>
      <c r="FG20" s="145"/>
      <c r="FH20" s="145"/>
      <c r="FI20" s="145"/>
      <c r="FJ20" s="145"/>
      <c r="FK20" s="145"/>
      <c r="FL20" s="145"/>
      <c r="FM20" s="145"/>
      <c r="FN20" s="145"/>
      <c r="FO20" s="145"/>
      <c r="FP20" s="145"/>
      <c r="FQ20" s="145"/>
      <c r="FR20" s="145"/>
      <c r="FS20" s="145"/>
      <c r="FT20" s="145"/>
      <c r="FU20" s="145"/>
      <c r="FV20" s="145"/>
      <c r="FW20" s="145"/>
      <c r="FX20" s="145"/>
      <c r="FY20" s="145"/>
      <c r="FZ20" s="145"/>
      <c r="GA20" s="145"/>
      <c r="GB20" s="141"/>
      <c r="GC20" s="141"/>
      <c r="GD20" s="141"/>
      <c r="GE20" s="141"/>
      <c r="GF20" s="141"/>
      <c r="GG20" s="141"/>
      <c r="GH20" s="141"/>
      <c r="GI20" s="141"/>
      <c r="GJ20" s="141"/>
      <c r="GK20" s="141"/>
      <c r="GL20" s="141"/>
      <c r="GM20" s="141"/>
      <c r="GN20" s="141"/>
      <c r="GO20" s="141"/>
      <c r="GP20" s="141"/>
      <c r="GQ20" s="141"/>
      <c r="GR20" s="141"/>
      <c r="GS20" s="141"/>
      <c r="GT20" s="141"/>
      <c r="GU20" s="141"/>
      <c r="GV20" s="141"/>
      <c r="GW20" s="141"/>
      <c r="GX20" s="141"/>
      <c r="GY20" s="141"/>
      <c r="GZ20" s="141"/>
      <c r="HA20" s="141"/>
      <c r="HB20" s="141"/>
      <c r="HC20" s="141"/>
    </row>
    <row r="21" spans="1:211" s="138" customFormat="1">
      <c r="A21" s="133">
        <f t="shared" si="19"/>
        <v>16</v>
      </c>
      <c r="B21" s="139" t="str">
        <f t="shared" ref="B21" si="43">MID(RIGHT(H21,8),1,7)</f>
        <v/>
      </c>
      <c r="C21" s="139" t="str">
        <f t="shared" ref="C21" si="44">MID(RIGHT(I21,8),1,7)</f>
        <v/>
      </c>
      <c r="D21" s="139" t="str">
        <f t="shared" ref="D21" si="45">MID(RIGHT(J21,8),1,7)</f>
        <v>リリース</v>
      </c>
      <c r="E21" s="139" t="str">
        <f t="shared" ref="E21" si="46">MID(RIGHT(K21,8),1,7)</f>
        <v/>
      </c>
      <c r="H21" s="131"/>
      <c r="I21" s="144"/>
      <c r="J21" s="131" t="s">
        <v>88</v>
      </c>
      <c r="K21" s="135"/>
      <c r="L21" s="136"/>
      <c r="M21" s="130"/>
      <c r="N21" s="134"/>
      <c r="O21" s="136"/>
      <c r="P21" s="136"/>
      <c r="Q21" s="136"/>
      <c r="R21" s="136"/>
      <c r="S21" s="137"/>
      <c r="T21" s="146"/>
      <c r="U21" s="146"/>
      <c r="V21" s="129"/>
      <c r="W21" s="142" t="s">
        <v>167</v>
      </c>
      <c r="X21" s="146"/>
      <c r="Y21" s="146"/>
      <c r="Z21" s="132">
        <f t="shared" ref="Z21" ca="1" si="47">IF(SUM(AB21:HC21)=0,"",  SUM(AB21:HC21))</f>
        <v>1.75</v>
      </c>
      <c r="AA21" s="143"/>
      <c r="AB21" s="140" t="str">
        <f t="shared" ca="1" si="38"/>
        <v/>
      </c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5"/>
      <c r="AZ21" s="145"/>
      <c r="BA21" s="145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5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>
        <v>0.5</v>
      </c>
      <c r="CE21" s="145"/>
      <c r="CF21" s="145"/>
      <c r="CG21" s="145"/>
      <c r="CH21" s="145">
        <v>0.5</v>
      </c>
      <c r="CI21" s="145">
        <v>0.75</v>
      </c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5"/>
      <c r="CU21" s="145"/>
      <c r="CV21" s="145"/>
      <c r="CW21" s="145"/>
      <c r="CX21" s="145"/>
      <c r="CY21" s="145"/>
      <c r="CZ21" s="145"/>
      <c r="DA21" s="145"/>
      <c r="DB21" s="145"/>
      <c r="DC21" s="145"/>
      <c r="DD21" s="145"/>
      <c r="DE21" s="145"/>
      <c r="DF21" s="145"/>
      <c r="DG21" s="145"/>
      <c r="DH21" s="145"/>
      <c r="DI21" s="145"/>
      <c r="DJ21" s="145"/>
      <c r="DK21" s="145"/>
      <c r="DL21" s="145"/>
      <c r="DM21" s="145"/>
      <c r="DN21" s="145"/>
      <c r="DO21" s="145"/>
      <c r="DP21" s="145"/>
      <c r="DQ21" s="145"/>
      <c r="DR21" s="145"/>
      <c r="DS21" s="145"/>
      <c r="DT21" s="145"/>
      <c r="DU21" s="145"/>
      <c r="DV21" s="145"/>
      <c r="DW21" s="145"/>
      <c r="DX21" s="145"/>
      <c r="DY21" s="145"/>
      <c r="DZ21" s="145"/>
      <c r="EA21" s="145"/>
      <c r="EB21" s="145"/>
      <c r="EC21" s="145"/>
      <c r="ED21" s="145"/>
      <c r="EE21" s="145"/>
      <c r="EF21" s="145"/>
      <c r="EG21" s="145"/>
      <c r="EH21" s="145"/>
      <c r="EI21" s="145"/>
      <c r="EJ21" s="145"/>
      <c r="EK21" s="145"/>
      <c r="EL21" s="145"/>
      <c r="EM21" s="145"/>
      <c r="EN21" s="145"/>
      <c r="EO21" s="145"/>
      <c r="EP21" s="145"/>
      <c r="EQ21" s="145"/>
      <c r="ER21" s="145"/>
      <c r="ES21" s="145"/>
      <c r="ET21" s="145"/>
      <c r="EU21" s="145"/>
      <c r="EV21" s="145"/>
      <c r="EW21" s="145"/>
      <c r="EX21" s="145"/>
      <c r="EY21" s="145"/>
      <c r="EZ21" s="145"/>
      <c r="FA21" s="145"/>
      <c r="FB21" s="145"/>
      <c r="FC21" s="145"/>
      <c r="FD21" s="145"/>
      <c r="FE21" s="145"/>
      <c r="FF21" s="145"/>
      <c r="FG21" s="145"/>
      <c r="FH21" s="145"/>
      <c r="FI21" s="145"/>
      <c r="FJ21" s="145"/>
      <c r="FK21" s="145"/>
      <c r="FL21" s="145"/>
      <c r="FM21" s="145"/>
      <c r="FN21" s="145"/>
      <c r="FO21" s="145"/>
      <c r="FP21" s="145"/>
      <c r="FQ21" s="145"/>
      <c r="FR21" s="145"/>
      <c r="FS21" s="145"/>
      <c r="FT21" s="145"/>
      <c r="FU21" s="145"/>
      <c r="FV21" s="145"/>
      <c r="FW21" s="145"/>
      <c r="FX21" s="145"/>
      <c r="FY21" s="145"/>
      <c r="FZ21" s="145"/>
      <c r="GA21" s="145"/>
      <c r="GB21" s="141"/>
      <c r="GC21" s="141"/>
      <c r="GD21" s="141"/>
      <c r="GE21" s="141"/>
      <c r="GF21" s="141"/>
      <c r="GG21" s="141"/>
      <c r="GH21" s="141"/>
      <c r="GI21" s="141"/>
      <c r="GJ21" s="141"/>
      <c r="GK21" s="141"/>
      <c r="GL21" s="141"/>
      <c r="GM21" s="141"/>
      <c r="GN21" s="141"/>
      <c r="GO21" s="141"/>
      <c r="GP21" s="141"/>
      <c r="GQ21" s="141"/>
      <c r="GR21" s="141"/>
      <c r="GS21" s="141"/>
      <c r="GT21" s="141"/>
      <c r="GU21" s="141"/>
      <c r="GV21" s="141"/>
      <c r="GW21" s="141"/>
      <c r="GX21" s="141"/>
      <c r="GY21" s="141"/>
      <c r="GZ21" s="141"/>
      <c r="HA21" s="141"/>
      <c r="HB21" s="141"/>
      <c r="HC21" s="141"/>
    </row>
    <row r="22" spans="1:211" s="111" customFormat="1">
      <c r="A22" s="109">
        <f t="shared" si="19"/>
        <v>17</v>
      </c>
      <c r="B22" s="110" t="str">
        <f>MID(RIGHT(G22,8),1,7)</f>
        <v/>
      </c>
      <c r="C22" s="110" t="str">
        <f>MID(RIGHT(H22,8),1,7)</f>
        <v/>
      </c>
      <c r="D22" s="110" t="str">
        <f>MID(RIGHT(I22,8),1,7)</f>
        <v>習熟環境TS</v>
      </c>
      <c r="E22" s="110" t="str">
        <f>MID(RIGHT(J22,8),1,7)</f>
        <v/>
      </c>
      <c r="H22" s="112"/>
      <c r="I22" s="127" t="s">
        <v>115</v>
      </c>
      <c r="J22" s="113"/>
      <c r="K22" s="114"/>
      <c r="L22" s="115"/>
      <c r="M22" s="116"/>
      <c r="N22" s="117"/>
      <c r="O22" s="115"/>
      <c r="P22" s="115"/>
      <c r="Q22" s="115"/>
      <c r="R22" s="115"/>
      <c r="S22" s="118"/>
      <c r="T22" s="119"/>
      <c r="U22" s="119"/>
      <c r="V22" s="120"/>
      <c r="W22" s="121"/>
      <c r="X22" s="119"/>
      <c r="Y22" s="119"/>
      <c r="Z22" s="122">
        <f ca="1">SUM(Z23:Z23)</f>
        <v>10</v>
      </c>
      <c r="AA22" s="128"/>
      <c r="AB22" s="123"/>
      <c r="AC22" s="124"/>
      <c r="AD22" s="124"/>
      <c r="AE22" s="124"/>
      <c r="AF22" s="124"/>
      <c r="AG22" s="124"/>
      <c r="AH22" s="125"/>
      <c r="AI22" s="125"/>
      <c r="AJ22" s="125"/>
      <c r="AK22" s="125"/>
      <c r="AL22" s="124"/>
      <c r="AM22" s="124"/>
      <c r="AN22" s="125"/>
      <c r="AO22" s="125"/>
      <c r="AP22" s="125"/>
      <c r="AQ22" s="125"/>
      <c r="AR22" s="124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4"/>
      <c r="DT22" s="124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4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5"/>
      <c r="GC22" s="125"/>
      <c r="GD22" s="125"/>
      <c r="GE22" s="125"/>
      <c r="GF22" s="125"/>
      <c r="GG22" s="125"/>
      <c r="GH22" s="125"/>
      <c r="GI22" s="125"/>
      <c r="GJ22" s="125"/>
      <c r="GK22" s="125"/>
      <c r="GL22" s="125"/>
      <c r="GM22" s="125"/>
      <c r="GN22" s="125"/>
      <c r="GO22" s="125"/>
      <c r="GP22" s="125"/>
      <c r="GQ22" s="125"/>
      <c r="GR22" s="125"/>
      <c r="GS22" s="125"/>
      <c r="GT22" s="125"/>
      <c r="GU22" s="125"/>
      <c r="GV22" s="125"/>
      <c r="GW22" s="125"/>
      <c r="GX22" s="125"/>
      <c r="GY22" s="125"/>
      <c r="GZ22" s="125"/>
      <c r="HA22" s="125"/>
      <c r="HB22" s="125"/>
      <c r="HC22" s="125"/>
    </row>
    <row r="23" spans="1:211" s="138" customFormat="1">
      <c r="A23" s="133">
        <f t="shared" si="19"/>
        <v>18</v>
      </c>
      <c r="B23" s="139" t="str">
        <f t="shared" ref="B23:E25" si="48">MID(RIGHT(H23,8),1,7)</f>
        <v/>
      </c>
      <c r="C23" s="139" t="str">
        <f t="shared" si="48"/>
        <v/>
      </c>
      <c r="D23" s="139" t="str">
        <f t="shared" si="48"/>
        <v>環境系Only</v>
      </c>
      <c r="E23" s="139" t="str">
        <f t="shared" si="48"/>
        <v/>
      </c>
      <c r="H23" s="131"/>
      <c r="I23" s="144"/>
      <c r="J23" s="131" t="s">
        <v>90</v>
      </c>
      <c r="K23" s="135"/>
      <c r="L23" s="136"/>
      <c r="M23" s="130"/>
      <c r="N23" s="134"/>
      <c r="O23" s="136"/>
      <c r="P23" s="136"/>
      <c r="Q23" s="136"/>
      <c r="R23" s="136"/>
      <c r="S23" s="137"/>
      <c r="T23" s="146">
        <v>41000</v>
      </c>
      <c r="U23" s="146"/>
      <c r="V23" s="129"/>
      <c r="W23" s="142" t="s">
        <v>72</v>
      </c>
      <c r="X23" s="146"/>
      <c r="Y23" s="146"/>
      <c r="Z23" s="132">
        <f ca="1">IF(SUM(AB23:HC23)=0,"",  SUM(AB23:HC23))</f>
        <v>10</v>
      </c>
      <c r="AA23" s="143"/>
      <c r="AB23" s="140" t="str">
        <f ca="1">IF($T23="","",IF($X23="",IF($T23&lt;TODAY(),"未着手","予定"),IF($Y23="",IF($U23&lt;TODAY(),"遅延","仕掛"),"完了")))</f>
        <v>未着手</v>
      </c>
      <c r="AC23" s="145"/>
      <c r="AD23" s="145"/>
      <c r="AE23" s="145"/>
      <c r="AF23" s="145"/>
      <c r="AG23" s="145"/>
      <c r="AH23" s="145"/>
      <c r="AI23" s="145"/>
      <c r="AJ23" s="145"/>
      <c r="AK23" s="145"/>
      <c r="AL23" s="145"/>
      <c r="AM23" s="145"/>
      <c r="AN23" s="145"/>
      <c r="AO23" s="145"/>
      <c r="AP23" s="145"/>
      <c r="AQ23" s="145"/>
      <c r="AR23" s="145"/>
      <c r="AS23" s="145">
        <v>1</v>
      </c>
      <c r="AT23" s="145"/>
      <c r="AU23" s="145">
        <v>0.5</v>
      </c>
      <c r="AV23" s="145"/>
      <c r="AW23" s="145"/>
      <c r="AX23" s="145"/>
      <c r="AY23" s="145"/>
      <c r="AZ23" s="145">
        <v>4.75</v>
      </c>
      <c r="BA23" s="145"/>
      <c r="BB23" s="145"/>
      <c r="BC23" s="145"/>
      <c r="BD23" s="145"/>
      <c r="BE23" s="145"/>
      <c r="BF23" s="145"/>
      <c r="BG23" s="145"/>
      <c r="BH23" s="145"/>
      <c r="BI23" s="145"/>
      <c r="BJ23" s="145"/>
      <c r="BK23" s="145">
        <v>0.75</v>
      </c>
      <c r="BL23" s="145"/>
      <c r="BM23" s="145"/>
      <c r="BN23" s="145">
        <v>1</v>
      </c>
      <c r="BO23" s="145"/>
      <c r="BP23" s="145">
        <v>2</v>
      </c>
      <c r="BQ23" s="145"/>
      <c r="BR23" s="145"/>
      <c r="BS23" s="145"/>
      <c r="BT23" s="145"/>
      <c r="BU23" s="145"/>
      <c r="BV23" s="145"/>
      <c r="BW23" s="145"/>
      <c r="BX23" s="145"/>
      <c r="BY23" s="145"/>
      <c r="BZ23" s="145"/>
      <c r="CA23" s="145"/>
      <c r="CB23" s="145"/>
      <c r="CC23" s="145"/>
      <c r="CD23" s="145"/>
      <c r="CE23" s="145"/>
      <c r="CF23" s="145"/>
      <c r="CG23" s="145"/>
      <c r="CH23" s="145"/>
      <c r="CI23" s="145"/>
      <c r="CJ23" s="145"/>
      <c r="CK23" s="145"/>
      <c r="CL23" s="145"/>
      <c r="CM23" s="145"/>
      <c r="CN23" s="145"/>
      <c r="CO23" s="145"/>
      <c r="CP23" s="145"/>
      <c r="CQ23" s="145"/>
      <c r="CR23" s="145"/>
      <c r="CS23" s="145"/>
      <c r="CT23" s="145"/>
      <c r="CU23" s="145"/>
      <c r="CV23" s="145"/>
      <c r="CW23" s="145"/>
      <c r="CX23" s="145"/>
      <c r="CY23" s="145"/>
      <c r="CZ23" s="145"/>
      <c r="DA23" s="145"/>
      <c r="DB23" s="145"/>
      <c r="DC23" s="145"/>
      <c r="DD23" s="145"/>
      <c r="DE23" s="145"/>
      <c r="DF23" s="145"/>
      <c r="DG23" s="145"/>
      <c r="DH23" s="145"/>
      <c r="DI23" s="145"/>
      <c r="DJ23" s="145"/>
      <c r="DK23" s="145"/>
      <c r="DL23" s="145"/>
      <c r="DM23" s="145"/>
      <c r="DN23" s="145"/>
      <c r="DO23" s="145"/>
      <c r="DP23" s="145"/>
      <c r="DQ23" s="145"/>
      <c r="DR23" s="145"/>
      <c r="DS23" s="145"/>
      <c r="DT23" s="145"/>
      <c r="DU23" s="145"/>
      <c r="DV23" s="145"/>
      <c r="DW23" s="145"/>
      <c r="DX23" s="145"/>
      <c r="DY23" s="145"/>
      <c r="DZ23" s="145"/>
      <c r="EA23" s="145"/>
      <c r="EB23" s="145"/>
      <c r="EC23" s="145"/>
      <c r="ED23" s="145"/>
      <c r="EE23" s="145"/>
      <c r="EF23" s="145"/>
      <c r="EG23" s="145"/>
      <c r="EH23" s="145"/>
      <c r="EI23" s="145"/>
      <c r="EJ23" s="145"/>
      <c r="EK23" s="145"/>
      <c r="EL23" s="145"/>
      <c r="EM23" s="145"/>
      <c r="EN23" s="145"/>
      <c r="EO23" s="145"/>
      <c r="EP23" s="145"/>
      <c r="EQ23" s="145"/>
      <c r="ER23" s="145"/>
      <c r="ES23" s="145"/>
      <c r="ET23" s="145"/>
      <c r="EU23" s="145"/>
      <c r="EV23" s="145"/>
      <c r="EW23" s="145"/>
      <c r="EX23" s="145"/>
      <c r="EY23" s="145"/>
      <c r="EZ23" s="145"/>
      <c r="FA23" s="145"/>
      <c r="FB23" s="145"/>
      <c r="FC23" s="145"/>
      <c r="FD23" s="145"/>
      <c r="FE23" s="145"/>
      <c r="FF23" s="145"/>
      <c r="FG23" s="145"/>
      <c r="FH23" s="145"/>
      <c r="FI23" s="145"/>
      <c r="FJ23" s="145"/>
      <c r="FK23" s="145"/>
      <c r="FL23" s="145"/>
      <c r="FM23" s="145"/>
      <c r="FN23" s="145"/>
      <c r="FO23" s="145"/>
      <c r="FP23" s="145"/>
      <c r="FQ23" s="145"/>
      <c r="FR23" s="145"/>
      <c r="FS23" s="145"/>
      <c r="FT23" s="145"/>
      <c r="FU23" s="145"/>
      <c r="FV23" s="145"/>
      <c r="FW23" s="145"/>
      <c r="FX23" s="145"/>
      <c r="FY23" s="145"/>
      <c r="FZ23" s="145"/>
      <c r="GA23" s="145"/>
      <c r="GB23" s="141"/>
      <c r="GC23" s="141"/>
      <c r="GD23" s="141"/>
      <c r="GE23" s="141"/>
      <c r="GF23" s="141"/>
      <c r="GG23" s="141"/>
      <c r="GH23" s="141"/>
      <c r="GI23" s="141"/>
      <c r="GJ23" s="141"/>
      <c r="GK23" s="141"/>
      <c r="GL23" s="141"/>
      <c r="GM23" s="141"/>
      <c r="GN23" s="141"/>
      <c r="GO23" s="141"/>
      <c r="GP23" s="141"/>
      <c r="GQ23" s="141"/>
      <c r="GR23" s="141"/>
      <c r="GS23" s="141"/>
      <c r="GT23" s="141"/>
      <c r="GU23" s="141"/>
      <c r="GV23" s="141"/>
      <c r="GW23" s="141"/>
      <c r="GX23" s="141"/>
      <c r="GY23" s="141"/>
      <c r="GZ23" s="141"/>
      <c r="HA23" s="141"/>
      <c r="HB23" s="141"/>
      <c r="HC23" s="141"/>
    </row>
    <row r="24" spans="1:211" s="138" customFormat="1">
      <c r="A24" s="133">
        <f t="shared" si="19"/>
        <v>19</v>
      </c>
      <c r="B24" s="139" t="str">
        <f t="shared" si="48"/>
        <v/>
      </c>
      <c r="C24" s="139" t="str">
        <f t="shared" si="48"/>
        <v/>
      </c>
      <c r="D24" s="139" t="str">
        <f t="shared" si="48"/>
        <v>環境系Only</v>
      </c>
      <c r="E24" s="139" t="str">
        <f t="shared" si="48"/>
        <v/>
      </c>
      <c r="H24" s="131"/>
      <c r="I24" s="144"/>
      <c r="J24" s="131" t="s">
        <v>90</v>
      </c>
      <c r="K24" s="135"/>
      <c r="L24" s="136"/>
      <c r="M24" s="130"/>
      <c r="N24" s="134"/>
      <c r="O24" s="136"/>
      <c r="P24" s="136"/>
      <c r="Q24" s="136"/>
      <c r="R24" s="136"/>
      <c r="S24" s="137"/>
      <c r="T24" s="146">
        <v>41000</v>
      </c>
      <c r="U24" s="146"/>
      <c r="V24" s="129"/>
      <c r="W24" s="142" t="s">
        <v>46</v>
      </c>
      <c r="X24" s="146"/>
      <c r="Y24" s="146"/>
      <c r="Z24" s="132">
        <f ca="1">IF(SUM(AB24:HC24)=0,"",  SUM(AB24:HC24))</f>
        <v>2.5</v>
      </c>
      <c r="AA24" s="143"/>
      <c r="AB24" s="140" t="str">
        <f ca="1">IF($T24="","",IF($X24="",IF($T24&lt;TODAY(),"未着手","予定"),IF($Y24="",IF($U24&lt;TODAY(),"遅延","仕掛"),"完了")))</f>
        <v>未着手</v>
      </c>
      <c r="AC24" s="145"/>
      <c r="AD24" s="145"/>
      <c r="AE24" s="145"/>
      <c r="AF24" s="145"/>
      <c r="AG24" s="145">
        <v>1</v>
      </c>
      <c r="AH24" s="145"/>
      <c r="AI24" s="145"/>
      <c r="AJ24" s="145"/>
      <c r="AK24" s="145"/>
      <c r="AL24" s="145"/>
      <c r="AM24" s="145"/>
      <c r="AN24" s="145"/>
      <c r="AO24" s="145"/>
      <c r="AP24" s="145"/>
      <c r="AQ24" s="145"/>
      <c r="AR24" s="145"/>
      <c r="AS24" s="145"/>
      <c r="AT24" s="145"/>
      <c r="AU24" s="145"/>
      <c r="AV24" s="145"/>
      <c r="AW24" s="145"/>
      <c r="AX24" s="145"/>
      <c r="AY24" s="145"/>
      <c r="AZ24" s="145"/>
      <c r="BA24" s="145">
        <v>0.5</v>
      </c>
      <c r="BB24" s="145"/>
      <c r="BC24" s="145">
        <v>1</v>
      </c>
      <c r="BD24" s="145"/>
      <c r="BE24" s="145"/>
      <c r="BF24" s="145"/>
      <c r="BG24" s="145"/>
      <c r="BH24" s="145"/>
      <c r="BI24" s="145"/>
      <c r="BJ24" s="145"/>
      <c r="BK24" s="145"/>
      <c r="BL24" s="145"/>
      <c r="BM24" s="145"/>
      <c r="BN24" s="145"/>
      <c r="BO24" s="145"/>
      <c r="BP24" s="145"/>
      <c r="BQ24" s="145"/>
      <c r="BR24" s="145"/>
      <c r="BS24" s="145"/>
      <c r="BT24" s="145"/>
      <c r="BU24" s="145"/>
      <c r="BV24" s="145"/>
      <c r="BW24" s="145"/>
      <c r="BX24" s="145"/>
      <c r="BY24" s="145"/>
      <c r="BZ24" s="145"/>
      <c r="CA24" s="145"/>
      <c r="CB24" s="145"/>
      <c r="CC24" s="145"/>
      <c r="CD24" s="145"/>
      <c r="CE24" s="145"/>
      <c r="CF24" s="145"/>
      <c r="CG24" s="145"/>
      <c r="CH24" s="145"/>
      <c r="CI24" s="145"/>
      <c r="CJ24" s="145"/>
      <c r="CK24" s="145"/>
      <c r="CL24" s="145"/>
      <c r="CM24" s="145"/>
      <c r="CN24" s="145"/>
      <c r="CO24" s="145"/>
      <c r="CP24" s="145"/>
      <c r="CQ24" s="145"/>
      <c r="CR24" s="145"/>
      <c r="CS24" s="145"/>
      <c r="CT24" s="145"/>
      <c r="CU24" s="145"/>
      <c r="CV24" s="145"/>
      <c r="CW24" s="145"/>
      <c r="CX24" s="145"/>
      <c r="CY24" s="145"/>
      <c r="CZ24" s="145"/>
      <c r="DA24" s="145"/>
      <c r="DB24" s="145"/>
      <c r="DC24" s="145"/>
      <c r="DD24" s="145"/>
      <c r="DE24" s="145"/>
      <c r="DF24" s="145"/>
      <c r="DG24" s="145"/>
      <c r="DH24" s="145"/>
      <c r="DI24" s="145"/>
      <c r="DJ24" s="145"/>
      <c r="DK24" s="145"/>
      <c r="DL24" s="145"/>
      <c r="DM24" s="145"/>
      <c r="DN24" s="145"/>
      <c r="DO24" s="145"/>
      <c r="DP24" s="145"/>
      <c r="DQ24" s="145"/>
      <c r="DR24" s="145"/>
      <c r="DS24" s="145"/>
      <c r="DT24" s="145"/>
      <c r="DU24" s="145"/>
      <c r="DV24" s="145"/>
      <c r="DW24" s="145"/>
      <c r="DX24" s="145"/>
      <c r="DY24" s="145"/>
      <c r="DZ24" s="145"/>
      <c r="EA24" s="145"/>
      <c r="EB24" s="145"/>
      <c r="EC24" s="145"/>
      <c r="ED24" s="145"/>
      <c r="EE24" s="145"/>
      <c r="EF24" s="145"/>
      <c r="EG24" s="145"/>
      <c r="EH24" s="145"/>
      <c r="EI24" s="145"/>
      <c r="EJ24" s="145"/>
      <c r="EK24" s="145"/>
      <c r="EL24" s="145"/>
      <c r="EM24" s="145"/>
      <c r="EN24" s="145"/>
      <c r="EO24" s="145"/>
      <c r="EP24" s="145"/>
      <c r="EQ24" s="145"/>
      <c r="ER24" s="145"/>
      <c r="ES24" s="145"/>
      <c r="ET24" s="145"/>
      <c r="EU24" s="145"/>
      <c r="EV24" s="145"/>
      <c r="EW24" s="145"/>
      <c r="EX24" s="145"/>
      <c r="EY24" s="145"/>
      <c r="EZ24" s="145"/>
      <c r="FA24" s="145"/>
      <c r="FB24" s="145"/>
      <c r="FC24" s="145"/>
      <c r="FD24" s="145"/>
      <c r="FE24" s="145"/>
      <c r="FF24" s="145"/>
      <c r="FG24" s="145"/>
      <c r="FH24" s="145"/>
      <c r="FI24" s="145"/>
      <c r="FJ24" s="145"/>
      <c r="FK24" s="145"/>
      <c r="FL24" s="145"/>
      <c r="FM24" s="145"/>
      <c r="FN24" s="145"/>
      <c r="FO24" s="145"/>
      <c r="FP24" s="145"/>
      <c r="FQ24" s="145"/>
      <c r="FR24" s="145"/>
      <c r="FS24" s="145"/>
      <c r="FT24" s="145"/>
      <c r="FU24" s="145"/>
      <c r="FV24" s="145"/>
      <c r="FW24" s="145"/>
      <c r="FX24" s="145"/>
      <c r="FY24" s="145"/>
      <c r="FZ24" s="145"/>
      <c r="GA24" s="145"/>
      <c r="GB24" s="141"/>
      <c r="GC24" s="141"/>
      <c r="GD24" s="141"/>
      <c r="GE24" s="141"/>
      <c r="GF24" s="141"/>
      <c r="GG24" s="141"/>
      <c r="GH24" s="141"/>
      <c r="GI24" s="141"/>
      <c r="GJ24" s="141"/>
      <c r="GK24" s="141"/>
      <c r="GL24" s="141"/>
      <c r="GM24" s="141"/>
      <c r="GN24" s="141"/>
      <c r="GO24" s="141"/>
      <c r="GP24" s="141"/>
      <c r="GQ24" s="141"/>
      <c r="GR24" s="141"/>
      <c r="GS24" s="141"/>
      <c r="GT24" s="141"/>
      <c r="GU24" s="141"/>
      <c r="GV24" s="141"/>
      <c r="GW24" s="141"/>
      <c r="GX24" s="141"/>
      <c r="GY24" s="141"/>
      <c r="GZ24" s="141"/>
      <c r="HA24" s="141"/>
      <c r="HB24" s="141"/>
      <c r="HC24" s="141"/>
    </row>
    <row r="25" spans="1:211" s="138" customFormat="1">
      <c r="A25" s="133">
        <f t="shared" si="19"/>
        <v>20</v>
      </c>
      <c r="B25" s="139" t="str">
        <f t="shared" si="48"/>
        <v/>
      </c>
      <c r="C25" s="139" t="str">
        <f t="shared" si="48"/>
        <v/>
      </c>
      <c r="D25" s="139" t="str">
        <f t="shared" si="48"/>
        <v>環境系Only</v>
      </c>
      <c r="E25" s="139" t="str">
        <f t="shared" si="48"/>
        <v/>
      </c>
      <c r="H25" s="131"/>
      <c r="I25" s="144"/>
      <c r="J25" s="131" t="s">
        <v>90</v>
      </c>
      <c r="K25" s="135"/>
      <c r="L25" s="136"/>
      <c r="M25" s="130"/>
      <c r="N25" s="134"/>
      <c r="O25" s="136"/>
      <c r="P25" s="136"/>
      <c r="Q25" s="136"/>
      <c r="R25" s="136"/>
      <c r="S25" s="137"/>
      <c r="T25" s="146"/>
      <c r="U25" s="146"/>
      <c r="V25" s="129"/>
      <c r="W25" s="142" t="s">
        <v>157</v>
      </c>
      <c r="X25" s="146"/>
      <c r="Y25" s="146"/>
      <c r="Z25" s="132">
        <f ca="1">IF(SUM(AB25:HC25)=0,"",  SUM(AB25:HC25))</f>
        <v>8</v>
      </c>
      <c r="AA25" s="143"/>
      <c r="AB25" s="140" t="str">
        <f ca="1">IF($T25="","",IF($X25="",IF($T25&lt;TODAY(),"未着手","予定"),IF($Y25="",IF($U25&lt;TODAY(),"遅延","仕掛"),"完了")))</f>
        <v/>
      </c>
      <c r="AC25" s="145"/>
      <c r="AD25" s="145"/>
      <c r="AE25" s="145"/>
      <c r="AF25" s="145"/>
      <c r="AG25" s="145"/>
      <c r="AH25" s="145"/>
      <c r="AI25" s="145"/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  <c r="AY25" s="145"/>
      <c r="AZ25" s="145"/>
      <c r="BA25" s="145"/>
      <c r="BB25" s="145"/>
      <c r="BC25" s="145"/>
      <c r="BD25" s="145"/>
      <c r="BE25" s="145"/>
      <c r="BF25" s="145"/>
      <c r="BG25" s="145"/>
      <c r="BH25" s="145"/>
      <c r="BI25" s="145"/>
      <c r="BJ25" s="145"/>
      <c r="BK25" s="145"/>
      <c r="BL25" s="145"/>
      <c r="BM25" s="145"/>
      <c r="BN25" s="145"/>
      <c r="BO25" s="145">
        <v>8</v>
      </c>
      <c r="BP25" s="145"/>
      <c r="BQ25" s="145"/>
      <c r="BR25" s="145"/>
      <c r="BS25" s="145"/>
      <c r="BT25" s="145"/>
      <c r="BU25" s="145"/>
      <c r="BV25" s="145"/>
      <c r="BW25" s="145"/>
      <c r="BX25" s="145"/>
      <c r="BY25" s="145"/>
      <c r="BZ25" s="145"/>
      <c r="CA25" s="145"/>
      <c r="CB25" s="145"/>
      <c r="CC25" s="145"/>
      <c r="CD25" s="145"/>
      <c r="CE25" s="145"/>
      <c r="CF25" s="145"/>
      <c r="CG25" s="145"/>
      <c r="CH25" s="145"/>
      <c r="CI25" s="145"/>
      <c r="CJ25" s="145"/>
      <c r="CK25" s="145"/>
      <c r="CL25" s="145"/>
      <c r="CM25" s="145"/>
      <c r="CN25" s="145"/>
      <c r="CO25" s="145"/>
      <c r="CP25" s="145"/>
      <c r="CQ25" s="145"/>
      <c r="CR25" s="145"/>
      <c r="CS25" s="145"/>
      <c r="CT25" s="145"/>
      <c r="CU25" s="145"/>
      <c r="CV25" s="145"/>
      <c r="CW25" s="145"/>
      <c r="CX25" s="145"/>
      <c r="CY25" s="145"/>
      <c r="CZ25" s="145"/>
      <c r="DA25" s="145"/>
      <c r="DB25" s="145"/>
      <c r="DC25" s="145"/>
      <c r="DD25" s="145"/>
      <c r="DE25" s="145"/>
      <c r="DF25" s="145"/>
      <c r="DG25" s="145"/>
      <c r="DH25" s="145"/>
      <c r="DI25" s="145"/>
      <c r="DJ25" s="145"/>
      <c r="DK25" s="145"/>
      <c r="DL25" s="145"/>
      <c r="DM25" s="145"/>
      <c r="DN25" s="145"/>
      <c r="DO25" s="145"/>
      <c r="DP25" s="145"/>
      <c r="DQ25" s="145"/>
      <c r="DR25" s="145"/>
      <c r="DS25" s="145"/>
      <c r="DT25" s="145"/>
      <c r="DU25" s="145"/>
      <c r="DV25" s="145"/>
      <c r="DW25" s="145"/>
      <c r="DX25" s="145"/>
      <c r="DY25" s="145"/>
      <c r="DZ25" s="145"/>
      <c r="EA25" s="145"/>
      <c r="EB25" s="145"/>
      <c r="EC25" s="145"/>
      <c r="ED25" s="145"/>
      <c r="EE25" s="145"/>
      <c r="EF25" s="145"/>
      <c r="EG25" s="145"/>
      <c r="EH25" s="145"/>
      <c r="EI25" s="145"/>
      <c r="EJ25" s="145"/>
      <c r="EK25" s="145"/>
      <c r="EL25" s="145"/>
      <c r="EM25" s="145"/>
      <c r="EN25" s="145"/>
      <c r="EO25" s="145"/>
      <c r="EP25" s="145"/>
      <c r="EQ25" s="145"/>
      <c r="ER25" s="145"/>
      <c r="ES25" s="145"/>
      <c r="ET25" s="145"/>
      <c r="EU25" s="145"/>
      <c r="EV25" s="145"/>
      <c r="EW25" s="145"/>
      <c r="EX25" s="145"/>
      <c r="EY25" s="145"/>
      <c r="EZ25" s="145"/>
      <c r="FA25" s="145"/>
      <c r="FB25" s="145"/>
      <c r="FC25" s="145"/>
      <c r="FD25" s="145"/>
      <c r="FE25" s="145"/>
      <c r="FF25" s="145"/>
      <c r="FG25" s="145"/>
      <c r="FH25" s="145"/>
      <c r="FI25" s="145"/>
      <c r="FJ25" s="145"/>
      <c r="FK25" s="145"/>
      <c r="FL25" s="145"/>
      <c r="FM25" s="145"/>
      <c r="FN25" s="145"/>
      <c r="FO25" s="145"/>
      <c r="FP25" s="145"/>
      <c r="FQ25" s="145"/>
      <c r="FR25" s="145"/>
      <c r="FS25" s="145"/>
      <c r="FT25" s="145"/>
      <c r="FU25" s="145"/>
      <c r="FV25" s="145"/>
      <c r="FW25" s="145"/>
      <c r="FX25" s="145"/>
      <c r="FY25" s="145"/>
      <c r="FZ25" s="145"/>
      <c r="GA25" s="145"/>
      <c r="GB25" s="141"/>
      <c r="GC25" s="141"/>
      <c r="GD25" s="141"/>
      <c r="GE25" s="141"/>
      <c r="GF25" s="141"/>
      <c r="GG25" s="141"/>
      <c r="GH25" s="141"/>
      <c r="GI25" s="141"/>
      <c r="GJ25" s="141"/>
      <c r="GK25" s="141"/>
      <c r="GL25" s="141"/>
      <c r="GM25" s="141"/>
      <c r="GN25" s="141"/>
      <c r="GO25" s="141"/>
      <c r="GP25" s="141"/>
      <c r="GQ25" s="141"/>
      <c r="GR25" s="141"/>
      <c r="GS25" s="141"/>
      <c r="GT25" s="141"/>
      <c r="GU25" s="141"/>
      <c r="GV25" s="141"/>
      <c r="GW25" s="141"/>
      <c r="GX25" s="141"/>
      <c r="GY25" s="141"/>
      <c r="GZ25" s="141"/>
      <c r="HA25" s="141"/>
      <c r="HB25" s="141"/>
      <c r="HC25" s="141"/>
    </row>
    <row r="26" spans="1:211" s="138" customFormat="1">
      <c r="A26" s="133">
        <f t="shared" si="19"/>
        <v>21</v>
      </c>
      <c r="B26" s="139" t="str">
        <f t="shared" ref="B26" si="49">MID(RIGHT(H26,8),1,7)</f>
        <v/>
      </c>
      <c r="C26" s="139" t="str">
        <f t="shared" ref="C26" si="50">MID(RIGHT(I26,8),1,7)</f>
        <v/>
      </c>
      <c r="D26" s="139" t="str">
        <f t="shared" ref="D26" si="51">MID(RIGHT(J26,8),1,7)</f>
        <v>環境系Only</v>
      </c>
      <c r="E26" s="139" t="str">
        <f t="shared" ref="E26" si="52">MID(RIGHT(K26,8),1,7)</f>
        <v/>
      </c>
      <c r="H26" s="131"/>
      <c r="I26" s="144"/>
      <c r="J26" s="131" t="s">
        <v>90</v>
      </c>
      <c r="K26" s="135"/>
      <c r="L26" s="136"/>
      <c r="M26" s="130"/>
      <c r="N26" s="134"/>
      <c r="O26" s="136"/>
      <c r="P26" s="136"/>
      <c r="Q26" s="136"/>
      <c r="R26" s="136"/>
      <c r="S26" s="137"/>
      <c r="T26" s="146"/>
      <c r="U26" s="146"/>
      <c r="V26" s="129"/>
      <c r="W26" s="142" t="s">
        <v>45</v>
      </c>
      <c r="X26" s="146"/>
      <c r="Y26" s="146"/>
      <c r="Z26" s="132">
        <f ca="1">IF(SUM(AB26:HC26)=0,"",  SUM(AB26:HC26))</f>
        <v>10.5</v>
      </c>
      <c r="AA26" s="143"/>
      <c r="AB26" s="140" t="str">
        <f ca="1">IF($T26="","",IF($X26="",IF($T26&lt;TODAY(),"未着手","予定"),IF($Y26="",IF($U26&lt;TODAY(),"遅延","仕掛"),"完了")))</f>
        <v/>
      </c>
      <c r="AC26" s="145"/>
      <c r="AD26" s="145"/>
      <c r="AE26" s="145"/>
      <c r="AF26" s="145"/>
      <c r="AG26" s="145"/>
      <c r="AH26" s="145"/>
      <c r="AI26" s="145"/>
      <c r="AJ26" s="145"/>
      <c r="AK26" s="145"/>
      <c r="AL26" s="145"/>
      <c r="AM26" s="145"/>
      <c r="AN26" s="145"/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  <c r="AY26" s="145"/>
      <c r="AZ26" s="145"/>
      <c r="BA26" s="145"/>
      <c r="BB26" s="145"/>
      <c r="BC26" s="145"/>
      <c r="BD26" s="145"/>
      <c r="BE26" s="145"/>
      <c r="BF26" s="145"/>
      <c r="BG26" s="145"/>
      <c r="BH26" s="145"/>
      <c r="BI26" s="145"/>
      <c r="BJ26" s="145"/>
      <c r="BK26" s="145"/>
      <c r="BL26" s="145"/>
      <c r="BM26" s="145"/>
      <c r="BN26" s="145"/>
      <c r="BO26" s="145"/>
      <c r="BP26" s="145"/>
      <c r="BQ26" s="145"/>
      <c r="BR26" s="145"/>
      <c r="BS26" s="145"/>
      <c r="BT26" s="145"/>
      <c r="BU26" s="145"/>
      <c r="BV26" s="145"/>
      <c r="BW26" s="145"/>
      <c r="BX26" s="145"/>
      <c r="BY26" s="145"/>
      <c r="BZ26" s="145"/>
      <c r="CA26" s="145"/>
      <c r="CB26" s="145">
        <v>1.5</v>
      </c>
      <c r="CC26" s="145">
        <v>1</v>
      </c>
      <c r="CD26" s="145">
        <v>4</v>
      </c>
      <c r="CE26" s="145"/>
      <c r="CF26" s="145"/>
      <c r="CG26" s="145"/>
      <c r="CH26" s="145">
        <v>3</v>
      </c>
      <c r="CI26" s="145"/>
      <c r="CJ26" s="145"/>
      <c r="CK26" s="145">
        <v>1</v>
      </c>
      <c r="CL26" s="145"/>
      <c r="CM26" s="145"/>
      <c r="CN26" s="145"/>
      <c r="CO26" s="145"/>
      <c r="CP26" s="145"/>
      <c r="CQ26" s="145"/>
      <c r="CR26" s="145"/>
      <c r="CS26" s="145"/>
      <c r="CT26" s="145"/>
      <c r="CU26" s="145"/>
      <c r="CV26" s="145"/>
      <c r="CW26" s="145"/>
      <c r="CX26" s="145"/>
      <c r="CY26" s="145"/>
      <c r="CZ26" s="145"/>
      <c r="DA26" s="145"/>
      <c r="DB26" s="145"/>
      <c r="DC26" s="145"/>
      <c r="DD26" s="145"/>
      <c r="DE26" s="145"/>
      <c r="DF26" s="145"/>
      <c r="DG26" s="145"/>
      <c r="DH26" s="145"/>
      <c r="DI26" s="145"/>
      <c r="DJ26" s="145"/>
      <c r="DK26" s="145"/>
      <c r="DL26" s="145"/>
      <c r="DM26" s="145"/>
      <c r="DN26" s="145"/>
      <c r="DO26" s="145"/>
      <c r="DP26" s="145"/>
      <c r="DQ26" s="145"/>
      <c r="DR26" s="145"/>
      <c r="DS26" s="145"/>
      <c r="DT26" s="145"/>
      <c r="DU26" s="145"/>
      <c r="DV26" s="145"/>
      <c r="DW26" s="145"/>
      <c r="DX26" s="145"/>
      <c r="DY26" s="145"/>
      <c r="DZ26" s="145"/>
      <c r="EA26" s="145"/>
      <c r="EB26" s="145"/>
      <c r="EC26" s="145"/>
      <c r="ED26" s="145"/>
      <c r="EE26" s="145"/>
      <c r="EF26" s="145"/>
      <c r="EG26" s="145"/>
      <c r="EH26" s="145"/>
      <c r="EI26" s="145"/>
      <c r="EJ26" s="145"/>
      <c r="EK26" s="145"/>
      <c r="EL26" s="145"/>
      <c r="EM26" s="145"/>
      <c r="EN26" s="145"/>
      <c r="EO26" s="145"/>
      <c r="EP26" s="145"/>
      <c r="EQ26" s="145"/>
      <c r="ER26" s="145"/>
      <c r="ES26" s="145"/>
      <c r="ET26" s="145"/>
      <c r="EU26" s="145"/>
      <c r="EV26" s="145"/>
      <c r="EW26" s="145"/>
      <c r="EX26" s="145"/>
      <c r="EY26" s="145"/>
      <c r="EZ26" s="145"/>
      <c r="FA26" s="145"/>
      <c r="FB26" s="145"/>
      <c r="FC26" s="145"/>
      <c r="FD26" s="145"/>
      <c r="FE26" s="145"/>
      <c r="FF26" s="145"/>
      <c r="FG26" s="145"/>
      <c r="FH26" s="145"/>
      <c r="FI26" s="145"/>
      <c r="FJ26" s="145"/>
      <c r="FK26" s="145"/>
      <c r="FL26" s="145"/>
      <c r="FM26" s="145"/>
      <c r="FN26" s="145"/>
      <c r="FO26" s="145"/>
      <c r="FP26" s="145"/>
      <c r="FQ26" s="145"/>
      <c r="FR26" s="145"/>
      <c r="FS26" s="145"/>
      <c r="FT26" s="145"/>
      <c r="FU26" s="145"/>
      <c r="FV26" s="145"/>
      <c r="FW26" s="145"/>
      <c r="FX26" s="145"/>
      <c r="FY26" s="145"/>
      <c r="FZ26" s="145"/>
      <c r="GA26" s="145"/>
      <c r="GB26" s="141"/>
      <c r="GC26" s="141"/>
      <c r="GD26" s="141"/>
      <c r="GE26" s="141"/>
      <c r="GF26" s="141"/>
      <c r="GG26" s="141"/>
      <c r="GH26" s="141"/>
      <c r="GI26" s="141"/>
      <c r="GJ26" s="141"/>
      <c r="GK26" s="141"/>
      <c r="GL26" s="141"/>
      <c r="GM26" s="141"/>
      <c r="GN26" s="141"/>
      <c r="GO26" s="141"/>
      <c r="GP26" s="141"/>
      <c r="GQ26" s="141"/>
      <c r="GR26" s="141"/>
      <c r="GS26" s="141"/>
      <c r="GT26" s="141"/>
      <c r="GU26" s="141"/>
      <c r="GV26" s="141"/>
      <c r="GW26" s="141"/>
      <c r="GX26" s="141"/>
      <c r="GY26" s="141"/>
      <c r="GZ26" s="141"/>
      <c r="HA26" s="141"/>
      <c r="HB26" s="141"/>
      <c r="HC26" s="141"/>
    </row>
    <row r="27" spans="1:211" s="111" customFormat="1">
      <c r="A27" s="109">
        <f t="shared" si="19"/>
        <v>22</v>
      </c>
      <c r="B27" s="110" t="str">
        <f>MID(RIGHT(G27,8),1,7)</f>
        <v/>
      </c>
      <c r="C27" s="110" t="str">
        <f>MID(RIGHT(H27,8),1,7)</f>
        <v/>
      </c>
      <c r="D27" s="110" t="str">
        <f>MID(RIGHT(I27,8),1,7)</f>
        <v>議・ミーティン</v>
      </c>
      <c r="E27" s="110" t="str">
        <f>MID(RIGHT(J27,8),1,7)</f>
        <v/>
      </c>
      <c r="H27" s="112"/>
      <c r="I27" s="127" t="s">
        <v>139</v>
      </c>
      <c r="J27" s="113"/>
      <c r="K27" s="114"/>
      <c r="L27" s="115"/>
      <c r="M27" s="116"/>
      <c r="N27" s="117"/>
      <c r="O27" s="115"/>
      <c r="P27" s="115"/>
      <c r="Q27" s="115"/>
      <c r="R27" s="115"/>
      <c r="S27" s="118"/>
      <c r="T27" s="119"/>
      <c r="U27" s="119"/>
      <c r="V27" s="120"/>
      <c r="W27" s="121"/>
      <c r="X27" s="119"/>
      <c r="Y27" s="119"/>
      <c r="Z27" s="122">
        <f ca="1">SUM(Z28:Z28)</f>
        <v>26.75</v>
      </c>
      <c r="AA27" s="128"/>
      <c r="AB27" s="123"/>
      <c r="AC27" s="124"/>
      <c r="AD27" s="124"/>
      <c r="AE27" s="124"/>
      <c r="AF27" s="124"/>
      <c r="AG27" s="124"/>
      <c r="AH27" s="125"/>
      <c r="AI27" s="125"/>
      <c r="AJ27" s="125"/>
      <c r="AK27" s="125"/>
      <c r="AL27" s="124"/>
      <c r="AM27" s="124"/>
      <c r="AN27" s="125"/>
      <c r="AO27" s="125"/>
      <c r="AP27" s="125"/>
      <c r="AQ27" s="125"/>
      <c r="AR27" s="124"/>
      <c r="AS27" s="124"/>
      <c r="AT27" s="124"/>
      <c r="AU27" s="124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4"/>
      <c r="BG27" s="124"/>
      <c r="BH27" s="124"/>
      <c r="BI27" s="124"/>
      <c r="BJ27" s="124"/>
      <c r="BK27" s="124"/>
      <c r="BL27" s="124"/>
      <c r="BM27" s="124"/>
      <c r="BN27" s="124"/>
      <c r="BO27" s="124"/>
      <c r="BP27" s="124"/>
      <c r="BQ27" s="124"/>
      <c r="BR27" s="124"/>
      <c r="BS27" s="124"/>
      <c r="BT27" s="124"/>
      <c r="BU27" s="124"/>
      <c r="BV27" s="124"/>
      <c r="BW27" s="124"/>
      <c r="BX27" s="124"/>
      <c r="BY27" s="124"/>
      <c r="BZ27" s="124"/>
      <c r="CA27" s="124"/>
      <c r="CB27" s="124"/>
      <c r="CC27" s="124"/>
      <c r="CD27" s="124"/>
      <c r="CE27" s="124"/>
      <c r="CF27" s="124"/>
      <c r="CG27" s="124"/>
      <c r="CH27" s="124"/>
      <c r="CI27" s="124"/>
      <c r="CJ27" s="124"/>
      <c r="CK27" s="124"/>
      <c r="CL27" s="124"/>
      <c r="CM27" s="124"/>
      <c r="CN27" s="124"/>
      <c r="CO27" s="124"/>
      <c r="CP27" s="124"/>
      <c r="CQ27" s="124"/>
      <c r="CR27" s="124"/>
      <c r="CS27" s="124"/>
      <c r="CT27" s="124"/>
      <c r="CU27" s="124"/>
      <c r="CV27" s="124"/>
      <c r="CW27" s="124"/>
      <c r="CX27" s="124"/>
      <c r="CY27" s="124"/>
      <c r="CZ27" s="124"/>
      <c r="DA27" s="124"/>
      <c r="DB27" s="124"/>
      <c r="DC27" s="124"/>
      <c r="DD27" s="124"/>
      <c r="DE27" s="124"/>
      <c r="DF27" s="124"/>
      <c r="DG27" s="124"/>
      <c r="DH27" s="124"/>
      <c r="DI27" s="124"/>
      <c r="DJ27" s="124"/>
      <c r="DK27" s="124"/>
      <c r="DL27" s="124"/>
      <c r="DM27" s="124"/>
      <c r="DN27" s="124"/>
      <c r="DO27" s="124"/>
      <c r="DP27" s="124"/>
      <c r="DQ27" s="124"/>
      <c r="DR27" s="124"/>
      <c r="DS27" s="124"/>
      <c r="DT27" s="124"/>
      <c r="DU27" s="124"/>
      <c r="DV27" s="124"/>
      <c r="DW27" s="124"/>
      <c r="DX27" s="124"/>
      <c r="DY27" s="124"/>
      <c r="DZ27" s="124"/>
      <c r="EA27" s="124"/>
      <c r="EB27" s="124"/>
      <c r="EC27" s="124"/>
      <c r="ED27" s="124"/>
      <c r="EE27" s="124"/>
      <c r="EF27" s="124"/>
      <c r="EG27" s="124"/>
      <c r="EH27" s="124"/>
      <c r="EI27" s="124"/>
      <c r="EJ27" s="124"/>
      <c r="EK27" s="124"/>
      <c r="EL27" s="124"/>
      <c r="EM27" s="124"/>
      <c r="EN27" s="124"/>
      <c r="EO27" s="124"/>
      <c r="EP27" s="124"/>
      <c r="EQ27" s="124"/>
      <c r="ER27" s="124"/>
      <c r="ES27" s="124"/>
      <c r="ET27" s="124"/>
      <c r="EU27" s="124"/>
      <c r="EV27" s="124"/>
      <c r="EW27" s="124"/>
      <c r="EX27" s="124"/>
      <c r="EY27" s="124"/>
      <c r="EZ27" s="124"/>
      <c r="FA27" s="124"/>
      <c r="FB27" s="124"/>
      <c r="FC27" s="124"/>
      <c r="FD27" s="124"/>
      <c r="FE27" s="124"/>
      <c r="FF27" s="124"/>
      <c r="FG27" s="124"/>
      <c r="FH27" s="124"/>
      <c r="FI27" s="124"/>
      <c r="FJ27" s="124"/>
      <c r="FK27" s="124"/>
      <c r="FL27" s="124"/>
      <c r="FM27" s="124"/>
      <c r="FN27" s="124"/>
      <c r="FO27" s="124"/>
      <c r="FP27" s="124"/>
      <c r="FQ27" s="124"/>
      <c r="FR27" s="124"/>
      <c r="FS27" s="124"/>
      <c r="FT27" s="124"/>
      <c r="FU27" s="124"/>
      <c r="FV27" s="124"/>
      <c r="FW27" s="124"/>
      <c r="FX27" s="124"/>
      <c r="FY27" s="124"/>
      <c r="FZ27" s="124"/>
      <c r="GA27" s="124"/>
      <c r="GB27" s="125"/>
      <c r="GC27" s="125"/>
      <c r="GD27" s="125"/>
      <c r="GE27" s="125"/>
      <c r="GF27" s="125"/>
      <c r="GG27" s="125"/>
      <c r="GH27" s="125"/>
      <c r="GI27" s="125"/>
      <c r="GJ27" s="125"/>
      <c r="GK27" s="125"/>
      <c r="GL27" s="125"/>
      <c r="GM27" s="125"/>
      <c r="GN27" s="125"/>
      <c r="GO27" s="125"/>
      <c r="GP27" s="125"/>
      <c r="GQ27" s="125"/>
      <c r="GR27" s="125"/>
      <c r="GS27" s="125"/>
      <c r="GT27" s="125"/>
      <c r="GU27" s="125"/>
      <c r="GV27" s="125"/>
      <c r="GW27" s="125"/>
      <c r="GX27" s="125"/>
      <c r="GY27" s="125"/>
      <c r="GZ27" s="125"/>
      <c r="HA27" s="125"/>
      <c r="HB27" s="125"/>
      <c r="HC27" s="125"/>
    </row>
    <row r="28" spans="1:211" s="138" customFormat="1">
      <c r="A28" s="133">
        <f t="shared" si="19"/>
        <v>23</v>
      </c>
      <c r="B28" s="139" t="str">
        <f t="shared" ref="B28:E30" si="53">MID(RIGHT(H28,8),1,7)</f>
        <v/>
      </c>
      <c r="C28" s="139" t="str">
        <f t="shared" si="53"/>
        <v/>
      </c>
      <c r="D28" s="139" t="str">
        <f t="shared" si="53"/>
        <v>ング(BL業務</v>
      </c>
      <c r="E28" s="139" t="str">
        <f t="shared" si="53"/>
        <v/>
      </c>
      <c r="H28" s="131"/>
      <c r="I28" s="144"/>
      <c r="J28" s="131" t="s">
        <v>140</v>
      </c>
      <c r="K28" s="135"/>
      <c r="L28" s="136"/>
      <c r="M28" s="130"/>
      <c r="N28" s="134"/>
      <c r="O28" s="136"/>
      <c r="P28" s="136"/>
      <c r="Q28" s="136"/>
      <c r="R28" s="136"/>
      <c r="S28" s="137"/>
      <c r="T28" s="146">
        <v>41000</v>
      </c>
      <c r="U28" s="146"/>
      <c r="V28" s="129"/>
      <c r="W28" s="142" t="s">
        <v>77</v>
      </c>
      <c r="X28" s="146"/>
      <c r="Y28" s="146"/>
      <c r="Z28" s="132">
        <f ca="1">IF(SUM(AB28:HC28)=0,"",  SUM(AB28:HC28))</f>
        <v>26.75</v>
      </c>
      <c r="AA28" s="143"/>
      <c r="AB28" s="140" t="str">
        <f ca="1">IF($T28="","",IF($X28="",IF($T28&lt;TODAY(),"未着手","予定"),IF($Y28="",IF($U28&lt;TODAY(),"遅延","仕掛"),"完了")))</f>
        <v>未着手</v>
      </c>
      <c r="AC28" s="145"/>
      <c r="AD28" s="145"/>
      <c r="AE28" s="145">
        <v>0.75</v>
      </c>
      <c r="AF28" s="145">
        <v>2.25</v>
      </c>
      <c r="AG28" s="145"/>
      <c r="AH28" s="145"/>
      <c r="AI28" s="145"/>
      <c r="AJ28" s="145">
        <v>4</v>
      </c>
      <c r="AK28" s="145">
        <v>0.75</v>
      </c>
      <c r="AL28" s="145"/>
      <c r="AM28" s="145">
        <v>1.75</v>
      </c>
      <c r="AN28" s="145"/>
      <c r="AO28" s="145"/>
      <c r="AP28" s="145"/>
      <c r="AQ28" s="145"/>
      <c r="AR28" s="145"/>
      <c r="AS28" s="145"/>
      <c r="AT28" s="145">
        <v>1</v>
      </c>
      <c r="AU28" s="145"/>
      <c r="AV28" s="145"/>
      <c r="AW28" s="145"/>
      <c r="AX28" s="145"/>
      <c r="AY28" s="145"/>
      <c r="AZ28" s="145"/>
      <c r="BA28" s="145">
        <v>2.75</v>
      </c>
      <c r="BB28" s="145"/>
      <c r="BC28" s="145">
        <v>0.75</v>
      </c>
      <c r="BD28" s="145"/>
      <c r="BE28" s="145"/>
      <c r="BF28" s="145"/>
      <c r="BG28" s="145"/>
      <c r="BH28" s="145"/>
      <c r="BI28" s="145"/>
      <c r="BJ28" s="145">
        <v>4</v>
      </c>
      <c r="BK28" s="145">
        <v>1.25</v>
      </c>
      <c r="BL28" s="145">
        <v>1</v>
      </c>
      <c r="BM28" s="145">
        <v>3</v>
      </c>
      <c r="BN28" s="145">
        <v>2</v>
      </c>
      <c r="BO28" s="145">
        <v>1.5</v>
      </c>
      <c r="BP28" s="145"/>
      <c r="BQ28" s="145"/>
      <c r="BR28" s="145"/>
      <c r="BS28" s="145"/>
      <c r="BT28" s="145"/>
      <c r="BU28" s="145"/>
      <c r="BV28" s="145"/>
      <c r="BW28" s="145"/>
      <c r="BX28" s="145"/>
      <c r="BY28" s="145"/>
      <c r="BZ28" s="145"/>
      <c r="CA28" s="145"/>
      <c r="CB28" s="145"/>
      <c r="CC28" s="145"/>
      <c r="CD28" s="145"/>
      <c r="CE28" s="145"/>
      <c r="CF28" s="145"/>
      <c r="CG28" s="145"/>
      <c r="CH28" s="145"/>
      <c r="CI28" s="145"/>
      <c r="CJ28" s="145"/>
      <c r="CK28" s="145"/>
      <c r="CL28" s="145"/>
      <c r="CM28" s="145"/>
      <c r="CN28" s="145"/>
      <c r="CO28" s="145"/>
      <c r="CP28" s="145"/>
      <c r="CQ28" s="145"/>
      <c r="CR28" s="145"/>
      <c r="CS28" s="145"/>
      <c r="CT28" s="145"/>
      <c r="CU28" s="145"/>
      <c r="CV28" s="145"/>
      <c r="CW28" s="145"/>
      <c r="CX28" s="145"/>
      <c r="CY28" s="145"/>
      <c r="CZ28" s="145"/>
      <c r="DA28" s="145"/>
      <c r="DB28" s="145"/>
      <c r="DC28" s="145"/>
      <c r="DD28" s="145"/>
      <c r="DE28" s="145"/>
      <c r="DF28" s="145"/>
      <c r="DG28" s="145"/>
      <c r="DH28" s="145"/>
      <c r="DI28" s="145"/>
      <c r="DJ28" s="145"/>
      <c r="DK28" s="145"/>
      <c r="DL28" s="145"/>
      <c r="DM28" s="145"/>
      <c r="DN28" s="145"/>
      <c r="DO28" s="145"/>
      <c r="DP28" s="145"/>
      <c r="DQ28" s="145"/>
      <c r="DR28" s="145"/>
      <c r="DS28" s="145"/>
      <c r="DT28" s="145"/>
      <c r="DU28" s="145"/>
      <c r="DV28" s="145"/>
      <c r="DW28" s="145"/>
      <c r="DX28" s="145"/>
      <c r="DY28" s="145"/>
      <c r="DZ28" s="145"/>
      <c r="EA28" s="145"/>
      <c r="EB28" s="145"/>
      <c r="EC28" s="145"/>
      <c r="ED28" s="145"/>
      <c r="EE28" s="145"/>
      <c r="EF28" s="145"/>
      <c r="EG28" s="145"/>
      <c r="EH28" s="145"/>
      <c r="EI28" s="145"/>
      <c r="EJ28" s="145"/>
      <c r="EK28" s="145"/>
      <c r="EL28" s="145"/>
      <c r="EM28" s="145"/>
      <c r="EN28" s="145"/>
      <c r="EO28" s="145"/>
      <c r="EP28" s="145"/>
      <c r="EQ28" s="145"/>
      <c r="ER28" s="145"/>
      <c r="ES28" s="145"/>
      <c r="ET28" s="145"/>
      <c r="EU28" s="145"/>
      <c r="EV28" s="145"/>
      <c r="EW28" s="145"/>
      <c r="EX28" s="145"/>
      <c r="EY28" s="145"/>
      <c r="EZ28" s="145"/>
      <c r="FA28" s="145"/>
      <c r="FB28" s="145"/>
      <c r="FC28" s="145"/>
      <c r="FD28" s="145"/>
      <c r="FE28" s="145"/>
      <c r="FF28" s="145"/>
      <c r="FG28" s="145"/>
      <c r="FH28" s="145"/>
      <c r="FI28" s="145"/>
      <c r="FJ28" s="145"/>
      <c r="FK28" s="145"/>
      <c r="FL28" s="145"/>
      <c r="FM28" s="145"/>
      <c r="FN28" s="145"/>
      <c r="FO28" s="145"/>
      <c r="FP28" s="145"/>
      <c r="FQ28" s="145"/>
      <c r="FR28" s="145"/>
      <c r="FS28" s="145"/>
      <c r="FT28" s="145"/>
      <c r="FU28" s="145"/>
      <c r="FV28" s="145"/>
      <c r="FW28" s="145"/>
      <c r="FX28" s="145"/>
      <c r="FY28" s="145"/>
      <c r="FZ28" s="145"/>
      <c r="GA28" s="145"/>
      <c r="GB28" s="141"/>
      <c r="GC28" s="141"/>
      <c r="GD28" s="141"/>
      <c r="GE28" s="141"/>
      <c r="GF28" s="141"/>
      <c r="GG28" s="141"/>
      <c r="GH28" s="141"/>
      <c r="GI28" s="141"/>
      <c r="GJ28" s="141"/>
      <c r="GK28" s="141"/>
      <c r="GL28" s="141"/>
      <c r="GM28" s="141"/>
      <c r="GN28" s="141"/>
      <c r="GO28" s="141"/>
      <c r="GP28" s="141"/>
      <c r="GQ28" s="141"/>
      <c r="GR28" s="141"/>
      <c r="GS28" s="141"/>
      <c r="GT28" s="141"/>
      <c r="GU28" s="141"/>
      <c r="GV28" s="141"/>
      <c r="GW28" s="141"/>
      <c r="GX28" s="141"/>
      <c r="GY28" s="141"/>
      <c r="GZ28" s="141"/>
      <c r="HA28" s="141"/>
      <c r="HB28" s="141"/>
      <c r="HC28" s="141"/>
    </row>
    <row r="29" spans="1:211" s="138" customFormat="1">
      <c r="A29" s="133">
        <f t="shared" si="19"/>
        <v>24</v>
      </c>
      <c r="B29" s="139" t="str">
        <f t="shared" si="53"/>
        <v/>
      </c>
      <c r="C29" s="139" t="str">
        <f t="shared" si="53"/>
        <v/>
      </c>
      <c r="D29" s="139" t="str">
        <f t="shared" si="53"/>
        <v>ング(BL業務</v>
      </c>
      <c r="E29" s="139" t="str">
        <f t="shared" si="53"/>
        <v/>
      </c>
      <c r="H29" s="131"/>
      <c r="I29" s="144"/>
      <c r="J29" s="131" t="s">
        <v>116</v>
      </c>
      <c r="K29" s="135"/>
      <c r="L29" s="136"/>
      <c r="M29" s="130"/>
      <c r="N29" s="134"/>
      <c r="O29" s="136"/>
      <c r="P29" s="136"/>
      <c r="Q29" s="136"/>
      <c r="R29" s="136"/>
      <c r="S29" s="137"/>
      <c r="T29" s="146">
        <v>41000</v>
      </c>
      <c r="U29" s="146"/>
      <c r="V29" s="129"/>
      <c r="W29" s="142" t="s">
        <v>46</v>
      </c>
      <c r="X29" s="146"/>
      <c r="Y29" s="146"/>
      <c r="Z29" s="132">
        <f ca="1">IF(SUM(AB29:HC29)=0,"",  SUM(AB29:HC29))</f>
        <v>4</v>
      </c>
      <c r="AA29" s="143"/>
      <c r="AB29" s="140" t="str">
        <f ca="1">IF($T29="","",IF($X29="",IF($T29&lt;TODAY(),"未着手","予定"),IF($Y29="",IF($U29&lt;TODAY(),"遅延","仕掛"),"完了")))</f>
        <v>未着手</v>
      </c>
      <c r="AC29" s="145"/>
      <c r="AD29" s="145"/>
      <c r="AE29" s="145">
        <v>0.75</v>
      </c>
      <c r="AF29" s="145">
        <v>2.25</v>
      </c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>
        <v>1</v>
      </c>
      <c r="AT29" s="145"/>
      <c r="AU29" s="145"/>
      <c r="AV29" s="145"/>
      <c r="AW29" s="145"/>
      <c r="AX29" s="145"/>
      <c r="AY29" s="145"/>
      <c r="AZ29" s="145"/>
      <c r="BA29" s="145"/>
      <c r="BB29" s="145"/>
      <c r="BC29" s="145"/>
      <c r="BD29" s="145"/>
      <c r="BE29" s="145"/>
      <c r="BF29" s="145"/>
      <c r="BG29" s="145"/>
      <c r="BH29" s="145"/>
      <c r="BI29" s="145"/>
      <c r="BJ29" s="145"/>
      <c r="BK29" s="145"/>
      <c r="BL29" s="145"/>
      <c r="BM29" s="145"/>
      <c r="BN29" s="145"/>
      <c r="BO29" s="145"/>
      <c r="BP29" s="145"/>
      <c r="BQ29" s="145"/>
      <c r="BR29" s="145"/>
      <c r="BS29" s="145"/>
      <c r="BT29" s="145"/>
      <c r="BU29" s="145"/>
      <c r="BV29" s="145"/>
      <c r="BW29" s="145"/>
      <c r="BX29" s="145"/>
      <c r="BY29" s="145"/>
      <c r="BZ29" s="145"/>
      <c r="CA29" s="145"/>
      <c r="CB29" s="145"/>
      <c r="CC29" s="145"/>
      <c r="CD29" s="145"/>
      <c r="CE29" s="145"/>
      <c r="CF29" s="145"/>
      <c r="CG29" s="145"/>
      <c r="CH29" s="145"/>
      <c r="CI29" s="145"/>
      <c r="CJ29" s="145"/>
      <c r="CK29" s="145"/>
      <c r="CL29" s="145"/>
      <c r="CM29" s="145"/>
      <c r="CN29" s="145"/>
      <c r="CO29" s="145"/>
      <c r="CP29" s="145"/>
      <c r="CQ29" s="145"/>
      <c r="CR29" s="145"/>
      <c r="CS29" s="145"/>
      <c r="CT29" s="145"/>
      <c r="CU29" s="145"/>
      <c r="CV29" s="145"/>
      <c r="CW29" s="145"/>
      <c r="CX29" s="145"/>
      <c r="CY29" s="145"/>
      <c r="CZ29" s="145"/>
      <c r="DA29" s="145"/>
      <c r="DB29" s="145"/>
      <c r="DC29" s="145"/>
      <c r="DD29" s="145"/>
      <c r="DE29" s="145"/>
      <c r="DF29" s="145"/>
      <c r="DG29" s="145"/>
      <c r="DH29" s="145"/>
      <c r="DI29" s="145"/>
      <c r="DJ29" s="145"/>
      <c r="DK29" s="145"/>
      <c r="DL29" s="145"/>
      <c r="DM29" s="145"/>
      <c r="DN29" s="145"/>
      <c r="DO29" s="145"/>
      <c r="DP29" s="145"/>
      <c r="DQ29" s="145"/>
      <c r="DR29" s="145"/>
      <c r="DS29" s="145"/>
      <c r="DT29" s="145"/>
      <c r="DU29" s="145"/>
      <c r="DV29" s="145"/>
      <c r="DW29" s="145"/>
      <c r="DX29" s="145"/>
      <c r="DY29" s="145"/>
      <c r="DZ29" s="145"/>
      <c r="EA29" s="145"/>
      <c r="EB29" s="145"/>
      <c r="EC29" s="145"/>
      <c r="ED29" s="145"/>
      <c r="EE29" s="145"/>
      <c r="EF29" s="145"/>
      <c r="EG29" s="145"/>
      <c r="EH29" s="145"/>
      <c r="EI29" s="145"/>
      <c r="EJ29" s="145"/>
      <c r="EK29" s="145"/>
      <c r="EL29" s="145"/>
      <c r="EM29" s="145"/>
      <c r="EN29" s="145"/>
      <c r="EO29" s="145"/>
      <c r="EP29" s="145"/>
      <c r="EQ29" s="145"/>
      <c r="ER29" s="145"/>
      <c r="ES29" s="145"/>
      <c r="ET29" s="145"/>
      <c r="EU29" s="145"/>
      <c r="EV29" s="145"/>
      <c r="EW29" s="145"/>
      <c r="EX29" s="145"/>
      <c r="EY29" s="145"/>
      <c r="EZ29" s="145"/>
      <c r="FA29" s="145"/>
      <c r="FB29" s="145"/>
      <c r="FC29" s="145"/>
      <c r="FD29" s="145"/>
      <c r="FE29" s="145"/>
      <c r="FF29" s="145"/>
      <c r="FG29" s="145"/>
      <c r="FH29" s="145"/>
      <c r="FI29" s="145"/>
      <c r="FJ29" s="145"/>
      <c r="FK29" s="145"/>
      <c r="FL29" s="145"/>
      <c r="FM29" s="145"/>
      <c r="FN29" s="145"/>
      <c r="FO29" s="145"/>
      <c r="FP29" s="145"/>
      <c r="FQ29" s="145"/>
      <c r="FR29" s="145"/>
      <c r="FS29" s="145"/>
      <c r="FT29" s="145"/>
      <c r="FU29" s="145"/>
      <c r="FV29" s="145"/>
      <c r="FW29" s="145"/>
      <c r="FX29" s="145"/>
      <c r="FY29" s="145"/>
      <c r="FZ29" s="145"/>
      <c r="GA29" s="145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  <c r="GN29" s="141"/>
      <c r="GO29" s="141"/>
      <c r="GP29" s="141"/>
      <c r="GQ29" s="141"/>
      <c r="GR29" s="141"/>
      <c r="GS29" s="141"/>
      <c r="GT29" s="141"/>
      <c r="GU29" s="141"/>
      <c r="GV29" s="141"/>
      <c r="GW29" s="141"/>
      <c r="GX29" s="141"/>
      <c r="GY29" s="141"/>
      <c r="GZ29" s="141"/>
      <c r="HA29" s="141"/>
      <c r="HB29" s="141"/>
      <c r="HC29" s="141"/>
    </row>
    <row r="30" spans="1:211" s="138" customFormat="1">
      <c r="A30" s="133">
        <f t="shared" si="19"/>
        <v>25</v>
      </c>
      <c r="B30" s="139" t="str">
        <f t="shared" si="53"/>
        <v/>
      </c>
      <c r="C30" s="139" t="str">
        <f t="shared" si="53"/>
        <v/>
      </c>
      <c r="D30" s="139" t="str">
        <f t="shared" si="53"/>
        <v>ング(BL業務</v>
      </c>
      <c r="E30" s="139" t="str">
        <f t="shared" si="53"/>
        <v/>
      </c>
      <c r="H30" s="131"/>
      <c r="I30" s="144"/>
      <c r="J30" s="131" t="s">
        <v>116</v>
      </c>
      <c r="K30" s="135"/>
      <c r="L30" s="136"/>
      <c r="M30" s="130"/>
      <c r="N30" s="134"/>
      <c r="O30" s="136"/>
      <c r="P30" s="136"/>
      <c r="Q30" s="136"/>
      <c r="R30" s="136"/>
      <c r="S30" s="137"/>
      <c r="T30" s="146"/>
      <c r="U30" s="146"/>
      <c r="V30" s="129"/>
      <c r="W30" s="142" t="s">
        <v>156</v>
      </c>
      <c r="X30" s="146"/>
      <c r="Y30" s="146"/>
      <c r="Z30" s="132">
        <f t="shared" ref="Z30" ca="1" si="54">IF(SUM(AB30:HC30)=0,"",  SUM(AB30:HC30))</f>
        <v>1</v>
      </c>
      <c r="AA30" s="143"/>
      <c r="AB30" s="140" t="str">
        <f t="shared" ref="AB30" ca="1" si="55">IF($T30="","",IF($X30="",IF($T30&lt;TODAY(),"未着手","予定"),IF($Y30="",IF($U30&lt;TODAY(),"遅延","仕掛"),"完了")))</f>
        <v/>
      </c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>
        <v>1</v>
      </c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5"/>
      <c r="CU30" s="145"/>
      <c r="CV30" s="145"/>
      <c r="CW30" s="145"/>
      <c r="CX30" s="145"/>
      <c r="CY30" s="145"/>
      <c r="CZ30" s="145"/>
      <c r="DA30" s="145"/>
      <c r="DB30" s="145"/>
      <c r="DC30" s="145"/>
      <c r="DD30" s="145"/>
      <c r="DE30" s="145"/>
      <c r="DF30" s="145"/>
      <c r="DG30" s="145"/>
      <c r="DH30" s="145"/>
      <c r="DI30" s="145"/>
      <c r="DJ30" s="145"/>
      <c r="DK30" s="145"/>
      <c r="DL30" s="145"/>
      <c r="DM30" s="145"/>
      <c r="DN30" s="145"/>
      <c r="DO30" s="145"/>
      <c r="DP30" s="145"/>
      <c r="DQ30" s="145"/>
      <c r="DR30" s="145"/>
      <c r="DS30" s="145"/>
      <c r="DT30" s="145"/>
      <c r="DU30" s="145"/>
      <c r="DV30" s="145"/>
      <c r="DW30" s="145"/>
      <c r="DX30" s="145"/>
      <c r="DY30" s="145"/>
      <c r="DZ30" s="145"/>
      <c r="EA30" s="145"/>
      <c r="EB30" s="145"/>
      <c r="EC30" s="145"/>
      <c r="ED30" s="145"/>
      <c r="EE30" s="145"/>
      <c r="EF30" s="145"/>
      <c r="EG30" s="145"/>
      <c r="EH30" s="145"/>
      <c r="EI30" s="145"/>
      <c r="EJ30" s="145"/>
      <c r="EK30" s="145"/>
      <c r="EL30" s="145"/>
      <c r="EM30" s="145"/>
      <c r="EN30" s="145"/>
      <c r="EO30" s="145"/>
      <c r="EP30" s="145"/>
      <c r="EQ30" s="145"/>
      <c r="ER30" s="145"/>
      <c r="ES30" s="145"/>
      <c r="ET30" s="145"/>
      <c r="EU30" s="145"/>
      <c r="EV30" s="145"/>
      <c r="EW30" s="145"/>
      <c r="EX30" s="145"/>
      <c r="EY30" s="145"/>
      <c r="EZ30" s="145"/>
      <c r="FA30" s="145"/>
      <c r="FB30" s="145"/>
      <c r="FC30" s="145"/>
      <c r="FD30" s="145"/>
      <c r="FE30" s="145"/>
      <c r="FF30" s="145"/>
      <c r="FG30" s="145"/>
      <c r="FH30" s="145"/>
      <c r="FI30" s="145"/>
      <c r="FJ30" s="145"/>
      <c r="FK30" s="145"/>
      <c r="FL30" s="145"/>
      <c r="FM30" s="145"/>
      <c r="FN30" s="145"/>
      <c r="FO30" s="145"/>
      <c r="FP30" s="145"/>
      <c r="FQ30" s="145"/>
      <c r="FR30" s="145"/>
      <c r="FS30" s="145"/>
      <c r="FT30" s="145"/>
      <c r="FU30" s="145"/>
      <c r="FV30" s="145"/>
      <c r="FW30" s="145"/>
      <c r="FX30" s="145"/>
      <c r="FY30" s="145"/>
      <c r="FZ30" s="145"/>
      <c r="GA30" s="145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  <c r="GN30" s="141"/>
      <c r="GO30" s="141"/>
      <c r="GP30" s="141"/>
      <c r="GQ30" s="141"/>
      <c r="GR30" s="141"/>
      <c r="GS30" s="141"/>
      <c r="GT30" s="141"/>
      <c r="GU30" s="141"/>
      <c r="GV30" s="141"/>
      <c r="GW30" s="141"/>
      <c r="GX30" s="141"/>
      <c r="GY30" s="141"/>
      <c r="GZ30" s="141"/>
      <c r="HA30" s="141"/>
      <c r="HB30" s="141"/>
      <c r="HC30" s="141"/>
    </row>
    <row r="31" spans="1:211" s="111" customFormat="1">
      <c r="A31" s="109">
        <f t="shared" si="19"/>
        <v>26</v>
      </c>
      <c r="B31" s="110" t="str">
        <f>MID(RIGHT(G31,8),1,7)</f>
        <v/>
      </c>
      <c r="C31" s="110" t="str">
        <f>MID(RIGHT(H31,8),1,7)</f>
        <v/>
      </c>
      <c r="D31" s="110" t="str">
        <f>MID(RIGHT(I31,8),1,7)</f>
        <v>報告会・資料作</v>
      </c>
      <c r="E31" s="110" t="str">
        <f>MID(RIGHT(J31,8),1,7)</f>
        <v/>
      </c>
      <c r="H31" s="112"/>
      <c r="I31" s="127" t="s">
        <v>91</v>
      </c>
      <c r="J31" s="113"/>
      <c r="K31" s="114"/>
      <c r="L31" s="115"/>
      <c r="M31" s="116"/>
      <c r="N31" s="117"/>
      <c r="O31" s="115"/>
      <c r="P31" s="115"/>
      <c r="Q31" s="115"/>
      <c r="R31" s="115"/>
      <c r="S31" s="118"/>
      <c r="T31" s="119"/>
      <c r="U31" s="119"/>
      <c r="V31" s="120"/>
      <c r="W31" s="121"/>
      <c r="X31" s="119"/>
      <c r="Y31" s="119"/>
      <c r="Z31" s="122">
        <f ca="1">SUM(Z32:Z32)</f>
        <v>14.75</v>
      </c>
      <c r="AA31" s="128"/>
      <c r="AB31" s="123"/>
      <c r="AC31" s="124"/>
      <c r="AD31" s="124"/>
      <c r="AE31" s="124"/>
      <c r="AF31" s="124"/>
      <c r="AG31" s="124"/>
      <c r="AH31" s="125"/>
      <c r="AI31" s="125"/>
      <c r="AJ31" s="125"/>
      <c r="AK31" s="125"/>
      <c r="AL31" s="124"/>
      <c r="AM31" s="124"/>
      <c r="AN31" s="125"/>
      <c r="AO31" s="125"/>
      <c r="AP31" s="125"/>
      <c r="AQ31" s="125"/>
      <c r="AR31" s="124"/>
      <c r="AS31" s="124"/>
      <c r="AT31" s="124"/>
      <c r="AU31" s="124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4"/>
      <c r="BG31" s="124"/>
      <c r="BH31" s="124"/>
      <c r="BI31" s="124"/>
      <c r="BJ31" s="124"/>
      <c r="BK31" s="124"/>
      <c r="BL31" s="124"/>
      <c r="BM31" s="124"/>
      <c r="BN31" s="124"/>
      <c r="BO31" s="124"/>
      <c r="BP31" s="124"/>
      <c r="BQ31" s="124"/>
      <c r="BR31" s="124"/>
      <c r="BS31" s="124"/>
      <c r="BT31" s="124"/>
      <c r="BU31" s="124"/>
      <c r="BV31" s="124"/>
      <c r="BW31" s="124"/>
      <c r="BX31" s="124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4"/>
      <c r="CJ31" s="124"/>
      <c r="CK31" s="124"/>
      <c r="CL31" s="124"/>
      <c r="CM31" s="124"/>
      <c r="CN31" s="124"/>
      <c r="CO31" s="124"/>
      <c r="CP31" s="124"/>
      <c r="CQ31" s="124"/>
      <c r="CR31" s="124"/>
      <c r="CS31" s="124"/>
      <c r="CT31" s="124"/>
      <c r="CU31" s="124"/>
      <c r="CV31" s="124"/>
      <c r="CW31" s="124"/>
      <c r="CX31" s="124"/>
      <c r="CY31" s="124"/>
      <c r="CZ31" s="124"/>
      <c r="DA31" s="124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4"/>
      <c r="DM31" s="124"/>
      <c r="DN31" s="124"/>
      <c r="DO31" s="124"/>
      <c r="DP31" s="124"/>
      <c r="DQ31" s="124"/>
      <c r="DR31" s="124"/>
      <c r="DS31" s="124"/>
      <c r="DT31" s="124"/>
      <c r="DU31" s="124"/>
      <c r="DV31" s="124"/>
      <c r="DW31" s="124"/>
      <c r="DX31" s="124"/>
      <c r="DY31" s="124"/>
      <c r="DZ31" s="124"/>
      <c r="EA31" s="124"/>
      <c r="EB31" s="124"/>
      <c r="EC31" s="124"/>
      <c r="ED31" s="124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4"/>
      <c r="EP31" s="124"/>
      <c r="EQ31" s="124"/>
      <c r="ER31" s="124"/>
      <c r="ES31" s="124"/>
      <c r="ET31" s="124"/>
      <c r="EU31" s="124"/>
      <c r="EV31" s="124"/>
      <c r="EW31" s="124"/>
      <c r="EX31" s="124"/>
      <c r="EY31" s="124"/>
      <c r="EZ31" s="124"/>
      <c r="FA31" s="124"/>
      <c r="FB31" s="124"/>
      <c r="FC31" s="124"/>
      <c r="FD31" s="124"/>
      <c r="FE31" s="124"/>
      <c r="FF31" s="124"/>
      <c r="FG31" s="124"/>
      <c r="FH31" s="124"/>
      <c r="FI31" s="124"/>
      <c r="FJ31" s="124"/>
      <c r="FK31" s="124"/>
      <c r="FL31" s="124"/>
      <c r="FM31" s="124"/>
      <c r="FN31" s="124"/>
      <c r="FO31" s="124"/>
      <c r="FP31" s="124"/>
      <c r="FQ31" s="124"/>
      <c r="FR31" s="124"/>
      <c r="FS31" s="124"/>
      <c r="FT31" s="124"/>
      <c r="FU31" s="124"/>
      <c r="FV31" s="124"/>
      <c r="FW31" s="124"/>
      <c r="FX31" s="124"/>
      <c r="FY31" s="124"/>
      <c r="FZ31" s="124"/>
      <c r="GA31" s="124"/>
      <c r="GB31" s="125"/>
      <c r="GC31" s="125"/>
      <c r="GD31" s="125"/>
      <c r="GE31" s="125"/>
      <c r="GF31" s="125"/>
      <c r="GG31" s="125"/>
      <c r="GH31" s="125"/>
      <c r="GI31" s="125"/>
      <c r="GJ31" s="125"/>
      <c r="GK31" s="125"/>
      <c r="GL31" s="125"/>
      <c r="GM31" s="125"/>
      <c r="GN31" s="125"/>
      <c r="GO31" s="125"/>
      <c r="GP31" s="125"/>
      <c r="GQ31" s="125"/>
      <c r="GR31" s="125"/>
      <c r="GS31" s="125"/>
      <c r="GT31" s="125"/>
      <c r="GU31" s="125"/>
      <c r="GV31" s="125"/>
      <c r="GW31" s="125"/>
      <c r="GX31" s="125"/>
      <c r="GY31" s="125"/>
      <c r="GZ31" s="125"/>
      <c r="HA31" s="125"/>
      <c r="HB31" s="125"/>
      <c r="HC31" s="125"/>
    </row>
    <row r="32" spans="1:211" s="138" customFormat="1">
      <c r="A32" s="133">
        <f t="shared" si="19"/>
        <v>27</v>
      </c>
      <c r="B32" s="139" t="str">
        <f t="shared" ref="B32:E35" si="56">MID(RIGHT(H32,8),1,7)</f>
        <v/>
      </c>
      <c r="C32" s="139" t="str">
        <f t="shared" si="56"/>
        <v/>
      </c>
      <c r="D32" s="139" t="str">
        <f t="shared" si="56"/>
        <v>報告資料作成</v>
      </c>
      <c r="E32" s="139" t="str">
        <f t="shared" si="56"/>
        <v/>
      </c>
      <c r="H32" s="131"/>
      <c r="I32" s="144"/>
      <c r="J32" s="131" t="s">
        <v>92</v>
      </c>
      <c r="K32" s="135"/>
      <c r="L32" s="136"/>
      <c r="M32" s="130"/>
      <c r="N32" s="134"/>
      <c r="O32" s="136"/>
      <c r="P32" s="136"/>
      <c r="Q32" s="136"/>
      <c r="R32" s="136"/>
      <c r="S32" s="137"/>
      <c r="T32" s="146">
        <v>41000</v>
      </c>
      <c r="U32" s="146"/>
      <c r="V32" s="129"/>
      <c r="W32" s="142" t="s">
        <v>72</v>
      </c>
      <c r="X32" s="146"/>
      <c r="Y32" s="146"/>
      <c r="Z32" s="132">
        <f ca="1">IF(SUM(AB32:HC32)=0,"",  SUM(AB32:HC32))</f>
        <v>14.75</v>
      </c>
      <c r="AA32" s="143"/>
      <c r="AB32" s="140" t="str">
        <f ca="1">IF($T32="","",IF($X32="",IF($T32&lt;TODAY(),"未着手","予定"),IF($Y32="",IF($U32&lt;TODAY(),"遅延","仕掛"),"完了")))</f>
        <v>未着手</v>
      </c>
      <c r="AC32" s="145">
        <v>1.75</v>
      </c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>
        <v>0.25</v>
      </c>
      <c r="AU32" s="145"/>
      <c r="AV32" s="145"/>
      <c r="AW32" s="145"/>
      <c r="AX32" s="145"/>
      <c r="AY32" s="145"/>
      <c r="AZ32" s="145"/>
      <c r="BA32" s="145">
        <v>1</v>
      </c>
      <c r="BB32" s="145">
        <v>1</v>
      </c>
      <c r="BC32" s="145"/>
      <c r="BD32" s="145"/>
      <c r="BE32" s="145"/>
      <c r="BF32" s="145"/>
      <c r="BG32" s="145"/>
      <c r="BH32" s="145"/>
      <c r="BI32" s="145"/>
      <c r="BJ32" s="145"/>
      <c r="BK32" s="145"/>
      <c r="BL32" s="145">
        <v>4.75</v>
      </c>
      <c r="BM32" s="145">
        <v>6</v>
      </c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5"/>
      <c r="CU32" s="145"/>
      <c r="CV32" s="145"/>
      <c r="CW32" s="145"/>
      <c r="CX32" s="145"/>
      <c r="CY32" s="145"/>
      <c r="CZ32" s="145"/>
      <c r="DA32" s="145"/>
      <c r="DB32" s="145"/>
      <c r="DC32" s="145"/>
      <c r="DD32" s="145"/>
      <c r="DE32" s="145"/>
      <c r="DF32" s="145"/>
      <c r="DG32" s="145"/>
      <c r="DH32" s="145"/>
      <c r="DI32" s="145"/>
      <c r="DJ32" s="145"/>
      <c r="DK32" s="145"/>
      <c r="DL32" s="145"/>
      <c r="DM32" s="145"/>
      <c r="DN32" s="145"/>
      <c r="DO32" s="145"/>
      <c r="DP32" s="145"/>
      <c r="DQ32" s="145"/>
      <c r="DR32" s="145"/>
      <c r="DS32" s="145"/>
      <c r="DT32" s="145"/>
      <c r="DU32" s="145"/>
      <c r="DV32" s="145"/>
      <c r="DW32" s="145"/>
      <c r="DX32" s="145"/>
      <c r="DY32" s="145"/>
      <c r="DZ32" s="145"/>
      <c r="EA32" s="145"/>
      <c r="EB32" s="145"/>
      <c r="EC32" s="145"/>
      <c r="ED32" s="145"/>
      <c r="EE32" s="145"/>
      <c r="EF32" s="145"/>
      <c r="EG32" s="145"/>
      <c r="EH32" s="145"/>
      <c r="EI32" s="145"/>
      <c r="EJ32" s="145"/>
      <c r="EK32" s="145"/>
      <c r="EL32" s="145"/>
      <c r="EM32" s="145"/>
      <c r="EN32" s="145"/>
      <c r="EO32" s="145"/>
      <c r="EP32" s="145"/>
      <c r="EQ32" s="145"/>
      <c r="ER32" s="145"/>
      <c r="ES32" s="145"/>
      <c r="ET32" s="145"/>
      <c r="EU32" s="145"/>
      <c r="EV32" s="145"/>
      <c r="EW32" s="145"/>
      <c r="EX32" s="145"/>
      <c r="EY32" s="145"/>
      <c r="EZ32" s="145"/>
      <c r="FA32" s="145"/>
      <c r="FB32" s="145"/>
      <c r="FC32" s="145"/>
      <c r="FD32" s="145"/>
      <c r="FE32" s="145"/>
      <c r="FF32" s="145"/>
      <c r="FG32" s="145"/>
      <c r="FH32" s="145"/>
      <c r="FI32" s="145"/>
      <c r="FJ32" s="145"/>
      <c r="FK32" s="145"/>
      <c r="FL32" s="145"/>
      <c r="FM32" s="145"/>
      <c r="FN32" s="145"/>
      <c r="FO32" s="145"/>
      <c r="FP32" s="145"/>
      <c r="FQ32" s="145"/>
      <c r="FR32" s="145"/>
      <c r="FS32" s="145"/>
      <c r="FT32" s="145"/>
      <c r="FU32" s="145"/>
      <c r="FV32" s="145"/>
      <c r="FW32" s="145"/>
      <c r="FX32" s="145"/>
      <c r="FY32" s="145"/>
      <c r="FZ32" s="145"/>
      <c r="GA32" s="145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  <c r="GN32" s="141"/>
      <c r="GO32" s="141"/>
      <c r="GP32" s="141"/>
      <c r="GQ32" s="141"/>
      <c r="GR32" s="141"/>
      <c r="GS32" s="141"/>
      <c r="GT32" s="141"/>
      <c r="GU32" s="141"/>
      <c r="GV32" s="141"/>
      <c r="GW32" s="141"/>
      <c r="GX32" s="141"/>
      <c r="GY32" s="141"/>
      <c r="GZ32" s="141"/>
      <c r="HA32" s="141"/>
      <c r="HB32" s="141"/>
      <c r="HC32" s="141"/>
    </row>
    <row r="33" spans="1:211" s="138" customFormat="1">
      <c r="A33" s="133">
        <f t="shared" si="19"/>
        <v>28</v>
      </c>
      <c r="B33" s="139" t="str">
        <f t="shared" si="56"/>
        <v/>
      </c>
      <c r="C33" s="139" t="str">
        <f t="shared" si="56"/>
        <v/>
      </c>
      <c r="D33" s="139" t="str">
        <f t="shared" si="56"/>
        <v>報告会</v>
      </c>
      <c r="E33" s="139" t="str">
        <f t="shared" si="56"/>
        <v/>
      </c>
      <c r="H33" s="131"/>
      <c r="I33" s="144"/>
      <c r="J33" s="131" t="s">
        <v>93</v>
      </c>
      <c r="K33" s="135"/>
      <c r="L33" s="136"/>
      <c r="M33" s="130"/>
      <c r="N33" s="134"/>
      <c r="O33" s="136"/>
      <c r="P33" s="136"/>
      <c r="Q33" s="136"/>
      <c r="R33" s="136"/>
      <c r="S33" s="137"/>
      <c r="T33" s="146">
        <v>41000</v>
      </c>
      <c r="U33" s="146"/>
      <c r="V33" s="129"/>
      <c r="W33" s="142" t="s">
        <v>78</v>
      </c>
      <c r="X33" s="146"/>
      <c r="Y33" s="146"/>
      <c r="Z33" s="132" t="str">
        <f ca="1">IF(SUM(AB33:HC33)=0,"",  SUM(AB33:HC33))</f>
        <v/>
      </c>
      <c r="AA33" s="143"/>
      <c r="AB33" s="140" t="str">
        <f ca="1">IF($T33="","",IF($X33="",IF($T33&lt;TODAY(),"未着手","予定"),IF($Y33="",IF($U33&lt;TODAY(),"遅延","仕掛"),"完了")))</f>
        <v>未着手</v>
      </c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  <c r="CK33" s="145"/>
      <c r="CL33" s="145"/>
      <c r="CM33" s="145"/>
      <c r="CN33" s="145"/>
      <c r="CO33" s="145"/>
      <c r="CP33" s="145"/>
      <c r="CQ33" s="145"/>
      <c r="CR33" s="145"/>
      <c r="CS33" s="145"/>
      <c r="CT33" s="145"/>
      <c r="CU33" s="145"/>
      <c r="CV33" s="145"/>
      <c r="CW33" s="145"/>
      <c r="CX33" s="145"/>
      <c r="CY33" s="145"/>
      <c r="CZ33" s="145"/>
      <c r="DA33" s="145"/>
      <c r="DB33" s="145"/>
      <c r="DC33" s="145"/>
      <c r="DD33" s="145"/>
      <c r="DE33" s="145"/>
      <c r="DF33" s="145"/>
      <c r="DG33" s="145"/>
      <c r="DH33" s="145"/>
      <c r="DI33" s="145"/>
      <c r="DJ33" s="145"/>
      <c r="DK33" s="145"/>
      <c r="DL33" s="145"/>
      <c r="DM33" s="145"/>
      <c r="DN33" s="145"/>
      <c r="DO33" s="145"/>
      <c r="DP33" s="145"/>
      <c r="DQ33" s="145"/>
      <c r="DR33" s="145"/>
      <c r="DS33" s="145"/>
      <c r="DT33" s="145"/>
      <c r="DU33" s="145"/>
      <c r="DV33" s="145"/>
      <c r="DW33" s="145"/>
      <c r="DX33" s="145"/>
      <c r="DY33" s="145"/>
      <c r="DZ33" s="145"/>
      <c r="EA33" s="145"/>
      <c r="EB33" s="145"/>
      <c r="EC33" s="145"/>
      <c r="ED33" s="145"/>
      <c r="EE33" s="145"/>
      <c r="EF33" s="145"/>
      <c r="EG33" s="145"/>
      <c r="EH33" s="145"/>
      <c r="EI33" s="145"/>
      <c r="EJ33" s="145"/>
      <c r="EK33" s="145"/>
      <c r="EL33" s="145"/>
      <c r="EM33" s="145"/>
      <c r="EN33" s="145"/>
      <c r="EO33" s="145"/>
      <c r="EP33" s="145"/>
      <c r="EQ33" s="145"/>
      <c r="ER33" s="145"/>
      <c r="ES33" s="145"/>
      <c r="ET33" s="145"/>
      <c r="EU33" s="145"/>
      <c r="EV33" s="145"/>
      <c r="EW33" s="145"/>
      <c r="EX33" s="145"/>
      <c r="EY33" s="145"/>
      <c r="EZ33" s="145"/>
      <c r="FA33" s="145"/>
      <c r="FB33" s="145"/>
      <c r="FC33" s="145"/>
      <c r="FD33" s="145"/>
      <c r="FE33" s="145"/>
      <c r="FF33" s="145"/>
      <c r="FG33" s="145"/>
      <c r="FH33" s="145"/>
      <c r="FI33" s="145"/>
      <c r="FJ33" s="145"/>
      <c r="FK33" s="145"/>
      <c r="FL33" s="145"/>
      <c r="FM33" s="145"/>
      <c r="FN33" s="145"/>
      <c r="FO33" s="145"/>
      <c r="FP33" s="145"/>
      <c r="FQ33" s="145"/>
      <c r="FR33" s="145"/>
      <c r="FS33" s="145"/>
      <c r="FT33" s="145"/>
      <c r="FU33" s="145"/>
      <c r="FV33" s="145"/>
      <c r="FW33" s="145"/>
      <c r="FX33" s="145"/>
      <c r="FY33" s="145"/>
      <c r="FZ33" s="145"/>
      <c r="GA33" s="145"/>
      <c r="GB33" s="141"/>
      <c r="GC33" s="141"/>
      <c r="GD33" s="141"/>
      <c r="GE33" s="141"/>
      <c r="GF33" s="141"/>
      <c r="GG33" s="141"/>
      <c r="GH33" s="141"/>
      <c r="GI33" s="141"/>
      <c r="GJ33" s="141"/>
      <c r="GK33" s="141"/>
      <c r="GL33" s="141"/>
      <c r="GM33" s="141"/>
      <c r="GN33" s="141"/>
      <c r="GO33" s="141"/>
      <c r="GP33" s="141"/>
      <c r="GQ33" s="141"/>
      <c r="GR33" s="141"/>
      <c r="GS33" s="141"/>
      <c r="GT33" s="141"/>
      <c r="GU33" s="141"/>
      <c r="GV33" s="141"/>
      <c r="GW33" s="141"/>
      <c r="GX33" s="141"/>
      <c r="GY33" s="141"/>
      <c r="GZ33" s="141"/>
      <c r="HA33" s="141"/>
      <c r="HB33" s="141"/>
      <c r="HC33" s="141"/>
    </row>
    <row r="34" spans="1:211" s="138" customFormat="1">
      <c r="A34" s="133">
        <f t="shared" si="19"/>
        <v>29</v>
      </c>
      <c r="B34" s="139" t="str">
        <f t="shared" si="56"/>
        <v/>
      </c>
      <c r="C34" s="139" t="str">
        <f t="shared" si="56"/>
        <v/>
      </c>
      <c r="D34" s="139" t="str">
        <f t="shared" si="56"/>
        <v>報告資料作成</v>
      </c>
      <c r="E34" s="139" t="str">
        <f t="shared" si="56"/>
        <v/>
      </c>
      <c r="H34" s="131"/>
      <c r="I34" s="144"/>
      <c r="J34" s="131" t="s">
        <v>92</v>
      </c>
      <c r="K34" s="135"/>
      <c r="L34" s="136"/>
      <c r="M34" s="130"/>
      <c r="N34" s="134"/>
      <c r="O34" s="136"/>
      <c r="P34" s="136"/>
      <c r="Q34" s="136"/>
      <c r="R34" s="136"/>
      <c r="S34" s="137"/>
      <c r="T34" s="146">
        <v>41000</v>
      </c>
      <c r="U34" s="146"/>
      <c r="V34" s="129"/>
      <c r="W34" s="142" t="s">
        <v>79</v>
      </c>
      <c r="X34" s="146"/>
      <c r="Y34" s="146"/>
      <c r="Z34" s="132" t="str">
        <f ca="1">IF(SUM(AB34:HC34)=0,"",  SUM(AB34:HC34))</f>
        <v/>
      </c>
      <c r="AA34" s="143"/>
      <c r="AB34" s="140" t="str">
        <f ca="1">IF($T34="","",IF($X34="",IF($T34&lt;TODAY(),"未着手","予定"),IF($Y34="",IF($U34&lt;TODAY(),"遅延","仕掛"),"完了")))</f>
        <v>未着手</v>
      </c>
      <c r="AC34" s="145"/>
      <c r="AD34" s="145"/>
      <c r="AE34" s="145"/>
      <c r="AF34" s="145"/>
      <c r="AG34" s="145"/>
      <c r="AH34" s="145"/>
      <c r="AI34" s="145"/>
      <c r="AJ34" s="145"/>
      <c r="AK34" s="145"/>
      <c r="AL34" s="145"/>
      <c r="AM34" s="145"/>
      <c r="AN34" s="145"/>
      <c r="AO34" s="145"/>
      <c r="AP34" s="145"/>
      <c r="AQ34" s="145"/>
      <c r="AR34" s="145"/>
      <c r="AS34" s="145"/>
      <c r="AT34" s="145"/>
      <c r="AU34" s="145"/>
      <c r="AV34" s="145"/>
      <c r="AW34" s="145"/>
      <c r="AX34" s="145"/>
      <c r="AY34" s="145"/>
      <c r="AZ34" s="145"/>
      <c r="BA34" s="145"/>
      <c r="BB34" s="145"/>
      <c r="BC34" s="145"/>
      <c r="BD34" s="145"/>
      <c r="BE34" s="145"/>
      <c r="BF34" s="145"/>
      <c r="BG34" s="145"/>
      <c r="BH34" s="145"/>
      <c r="BI34" s="145"/>
      <c r="BJ34" s="145"/>
      <c r="BK34" s="145"/>
      <c r="BL34" s="145"/>
      <c r="BM34" s="145"/>
      <c r="BN34" s="145"/>
      <c r="BO34" s="145"/>
      <c r="BP34" s="145"/>
      <c r="BQ34" s="145"/>
      <c r="BR34" s="145"/>
      <c r="BS34" s="145"/>
      <c r="BT34" s="145"/>
      <c r="BU34" s="145"/>
      <c r="BV34" s="145"/>
      <c r="BW34" s="145"/>
      <c r="BX34" s="145"/>
      <c r="BY34" s="145"/>
      <c r="BZ34" s="145"/>
      <c r="CA34" s="145"/>
      <c r="CB34" s="145"/>
      <c r="CC34" s="145"/>
      <c r="CD34" s="145"/>
      <c r="CE34" s="145"/>
      <c r="CF34" s="145"/>
      <c r="CG34" s="145"/>
      <c r="CH34" s="145"/>
      <c r="CI34" s="145"/>
      <c r="CJ34" s="145"/>
      <c r="CK34" s="145"/>
      <c r="CL34" s="145"/>
      <c r="CM34" s="145"/>
      <c r="CN34" s="145"/>
      <c r="CO34" s="145"/>
      <c r="CP34" s="145"/>
      <c r="CQ34" s="145"/>
      <c r="CR34" s="145"/>
      <c r="CS34" s="145"/>
      <c r="CT34" s="145"/>
      <c r="CU34" s="145"/>
      <c r="CV34" s="145"/>
      <c r="CW34" s="145"/>
      <c r="CX34" s="145"/>
      <c r="CY34" s="145"/>
      <c r="CZ34" s="145"/>
      <c r="DA34" s="145"/>
      <c r="DB34" s="145"/>
      <c r="DC34" s="145"/>
      <c r="DD34" s="145"/>
      <c r="DE34" s="145"/>
      <c r="DF34" s="145"/>
      <c r="DG34" s="145"/>
      <c r="DH34" s="145"/>
      <c r="DI34" s="145"/>
      <c r="DJ34" s="145"/>
      <c r="DK34" s="145"/>
      <c r="DL34" s="145"/>
      <c r="DM34" s="145"/>
      <c r="DN34" s="145"/>
      <c r="DO34" s="145"/>
      <c r="DP34" s="145"/>
      <c r="DQ34" s="145"/>
      <c r="DR34" s="145"/>
      <c r="DS34" s="145"/>
      <c r="DT34" s="145"/>
      <c r="DU34" s="145"/>
      <c r="DV34" s="145"/>
      <c r="DW34" s="145"/>
      <c r="DX34" s="145"/>
      <c r="DY34" s="145"/>
      <c r="DZ34" s="145"/>
      <c r="EA34" s="145"/>
      <c r="EB34" s="145"/>
      <c r="EC34" s="145"/>
      <c r="ED34" s="145"/>
      <c r="EE34" s="145"/>
      <c r="EF34" s="145"/>
      <c r="EG34" s="145"/>
      <c r="EH34" s="145"/>
      <c r="EI34" s="145"/>
      <c r="EJ34" s="145"/>
      <c r="EK34" s="145"/>
      <c r="EL34" s="145"/>
      <c r="EM34" s="145"/>
      <c r="EN34" s="145"/>
      <c r="EO34" s="145"/>
      <c r="EP34" s="145"/>
      <c r="EQ34" s="145"/>
      <c r="ER34" s="145"/>
      <c r="ES34" s="145"/>
      <c r="ET34" s="145"/>
      <c r="EU34" s="145"/>
      <c r="EV34" s="145"/>
      <c r="EW34" s="145"/>
      <c r="EX34" s="145"/>
      <c r="EY34" s="145"/>
      <c r="EZ34" s="145"/>
      <c r="FA34" s="145"/>
      <c r="FB34" s="145"/>
      <c r="FC34" s="145"/>
      <c r="FD34" s="145"/>
      <c r="FE34" s="145"/>
      <c r="FF34" s="145"/>
      <c r="FG34" s="145"/>
      <c r="FH34" s="145"/>
      <c r="FI34" s="145"/>
      <c r="FJ34" s="145"/>
      <c r="FK34" s="145"/>
      <c r="FL34" s="145"/>
      <c r="FM34" s="145"/>
      <c r="FN34" s="145"/>
      <c r="FO34" s="145"/>
      <c r="FP34" s="145"/>
      <c r="FQ34" s="145"/>
      <c r="FR34" s="145"/>
      <c r="FS34" s="145"/>
      <c r="FT34" s="145"/>
      <c r="FU34" s="145"/>
      <c r="FV34" s="145"/>
      <c r="FW34" s="145"/>
      <c r="FX34" s="145"/>
      <c r="FY34" s="145"/>
      <c r="FZ34" s="145"/>
      <c r="GA34" s="145"/>
      <c r="GB34" s="141"/>
      <c r="GC34" s="141"/>
      <c r="GD34" s="141"/>
      <c r="GE34" s="141"/>
      <c r="GF34" s="141"/>
      <c r="GG34" s="141"/>
      <c r="GH34" s="141"/>
      <c r="GI34" s="141"/>
      <c r="GJ34" s="141"/>
      <c r="GK34" s="141"/>
      <c r="GL34" s="141"/>
      <c r="GM34" s="141"/>
      <c r="GN34" s="141"/>
      <c r="GO34" s="141"/>
      <c r="GP34" s="141"/>
      <c r="GQ34" s="141"/>
      <c r="GR34" s="141"/>
      <c r="GS34" s="141"/>
      <c r="GT34" s="141"/>
      <c r="GU34" s="141"/>
      <c r="GV34" s="141"/>
      <c r="GW34" s="141"/>
      <c r="GX34" s="141"/>
      <c r="GY34" s="141"/>
      <c r="GZ34" s="141"/>
      <c r="HA34" s="141"/>
      <c r="HB34" s="141"/>
      <c r="HC34" s="141"/>
    </row>
    <row r="35" spans="1:211" s="138" customFormat="1">
      <c r="A35" s="133">
        <f t="shared" si="19"/>
        <v>30</v>
      </c>
      <c r="B35" s="139" t="str">
        <f t="shared" si="56"/>
        <v/>
      </c>
      <c r="C35" s="139" t="str">
        <f t="shared" si="56"/>
        <v/>
      </c>
      <c r="D35" s="139" t="str">
        <f t="shared" si="56"/>
        <v>報告会</v>
      </c>
      <c r="E35" s="139" t="str">
        <f t="shared" si="56"/>
        <v/>
      </c>
      <c r="H35" s="131"/>
      <c r="I35" s="144"/>
      <c r="J35" s="131" t="s">
        <v>93</v>
      </c>
      <c r="K35" s="135"/>
      <c r="L35" s="136"/>
      <c r="M35" s="130"/>
      <c r="N35" s="134"/>
      <c r="O35" s="136"/>
      <c r="P35" s="136"/>
      <c r="Q35" s="136"/>
      <c r="R35" s="136"/>
      <c r="S35" s="137"/>
      <c r="T35" s="146">
        <v>41000</v>
      </c>
      <c r="U35" s="146"/>
      <c r="V35" s="129"/>
      <c r="W35" s="142" t="s">
        <v>46</v>
      </c>
      <c r="X35" s="146"/>
      <c r="Y35" s="146"/>
      <c r="Z35" s="132" t="str">
        <f ca="1">IF(SUM(AB35:HC35)=0,"",  SUM(AB35:HC35))</f>
        <v/>
      </c>
      <c r="AA35" s="143"/>
      <c r="AB35" s="140" t="str">
        <f ca="1">IF($T35="","",IF($X35="",IF($T35&lt;TODAY(),"未着手","予定"),IF($Y35="",IF($U35&lt;TODAY(),"遅延","仕掛"),"完了")))</f>
        <v>未着手</v>
      </c>
      <c r="AC35" s="145"/>
      <c r="AD35" s="145"/>
      <c r="AE35" s="145"/>
      <c r="AF35" s="145"/>
      <c r="AG35" s="145"/>
      <c r="AH35" s="145"/>
      <c r="AI35" s="145"/>
      <c r="AJ35" s="145"/>
      <c r="AK35" s="145"/>
      <c r="AL35" s="145"/>
      <c r="AM35" s="145"/>
      <c r="AN35" s="145"/>
      <c r="AO35" s="145"/>
      <c r="AP35" s="145"/>
      <c r="AQ35" s="145"/>
      <c r="AR35" s="145"/>
      <c r="AS35" s="145"/>
      <c r="AT35" s="145"/>
      <c r="AU35" s="145"/>
      <c r="AV35" s="145"/>
      <c r="AW35" s="145"/>
      <c r="AX35" s="145"/>
      <c r="AY35" s="145"/>
      <c r="AZ35" s="145"/>
      <c r="BA35" s="145"/>
      <c r="BB35" s="145"/>
      <c r="BC35" s="145"/>
      <c r="BD35" s="145"/>
      <c r="BE35" s="145"/>
      <c r="BF35" s="145"/>
      <c r="BG35" s="145"/>
      <c r="BH35" s="145"/>
      <c r="BI35" s="145"/>
      <c r="BJ35" s="145"/>
      <c r="BK35" s="145"/>
      <c r="BL35" s="145"/>
      <c r="BM35" s="145"/>
      <c r="BN35" s="145"/>
      <c r="BO35" s="145"/>
      <c r="BP35" s="145"/>
      <c r="BQ35" s="145"/>
      <c r="BR35" s="145"/>
      <c r="BS35" s="145"/>
      <c r="BT35" s="145"/>
      <c r="BU35" s="145"/>
      <c r="BV35" s="145"/>
      <c r="BW35" s="145"/>
      <c r="BX35" s="145"/>
      <c r="BY35" s="145"/>
      <c r="BZ35" s="145"/>
      <c r="CA35" s="145"/>
      <c r="CB35" s="145"/>
      <c r="CC35" s="145"/>
      <c r="CD35" s="145"/>
      <c r="CE35" s="145"/>
      <c r="CF35" s="145"/>
      <c r="CG35" s="145"/>
      <c r="CH35" s="145"/>
      <c r="CI35" s="145"/>
      <c r="CJ35" s="145"/>
      <c r="CK35" s="145"/>
      <c r="CL35" s="145"/>
      <c r="CM35" s="145"/>
      <c r="CN35" s="145"/>
      <c r="CO35" s="145"/>
      <c r="CP35" s="145"/>
      <c r="CQ35" s="145"/>
      <c r="CR35" s="145"/>
      <c r="CS35" s="145"/>
      <c r="CT35" s="145"/>
      <c r="CU35" s="145"/>
      <c r="CV35" s="145"/>
      <c r="CW35" s="145"/>
      <c r="CX35" s="145"/>
      <c r="CY35" s="145"/>
      <c r="CZ35" s="145"/>
      <c r="DA35" s="145"/>
      <c r="DB35" s="145"/>
      <c r="DC35" s="145"/>
      <c r="DD35" s="145"/>
      <c r="DE35" s="145"/>
      <c r="DF35" s="145"/>
      <c r="DG35" s="145"/>
      <c r="DH35" s="145"/>
      <c r="DI35" s="145"/>
      <c r="DJ35" s="145"/>
      <c r="DK35" s="145"/>
      <c r="DL35" s="145"/>
      <c r="DM35" s="145"/>
      <c r="DN35" s="145"/>
      <c r="DO35" s="145"/>
      <c r="DP35" s="145"/>
      <c r="DQ35" s="145"/>
      <c r="DR35" s="145"/>
      <c r="DS35" s="145"/>
      <c r="DT35" s="145"/>
      <c r="DU35" s="145"/>
      <c r="DV35" s="145"/>
      <c r="DW35" s="145"/>
      <c r="DX35" s="145"/>
      <c r="DY35" s="145"/>
      <c r="DZ35" s="145"/>
      <c r="EA35" s="145"/>
      <c r="EB35" s="145"/>
      <c r="EC35" s="145"/>
      <c r="ED35" s="145"/>
      <c r="EE35" s="145"/>
      <c r="EF35" s="145"/>
      <c r="EG35" s="145"/>
      <c r="EH35" s="145"/>
      <c r="EI35" s="145"/>
      <c r="EJ35" s="145"/>
      <c r="EK35" s="145"/>
      <c r="EL35" s="145"/>
      <c r="EM35" s="145"/>
      <c r="EN35" s="145"/>
      <c r="EO35" s="145"/>
      <c r="EP35" s="145"/>
      <c r="EQ35" s="145"/>
      <c r="ER35" s="145"/>
      <c r="ES35" s="145"/>
      <c r="ET35" s="145"/>
      <c r="EU35" s="145"/>
      <c r="EV35" s="145"/>
      <c r="EW35" s="145"/>
      <c r="EX35" s="145"/>
      <c r="EY35" s="145"/>
      <c r="EZ35" s="145"/>
      <c r="FA35" s="145"/>
      <c r="FB35" s="145"/>
      <c r="FC35" s="145"/>
      <c r="FD35" s="145"/>
      <c r="FE35" s="145"/>
      <c r="FF35" s="145"/>
      <c r="FG35" s="145"/>
      <c r="FH35" s="145"/>
      <c r="FI35" s="145"/>
      <c r="FJ35" s="145"/>
      <c r="FK35" s="145"/>
      <c r="FL35" s="145"/>
      <c r="FM35" s="145"/>
      <c r="FN35" s="145"/>
      <c r="FO35" s="145"/>
      <c r="FP35" s="145"/>
      <c r="FQ35" s="145"/>
      <c r="FR35" s="145"/>
      <c r="FS35" s="145"/>
      <c r="FT35" s="145"/>
      <c r="FU35" s="145"/>
      <c r="FV35" s="145"/>
      <c r="FW35" s="145"/>
      <c r="FX35" s="145"/>
      <c r="FY35" s="145"/>
      <c r="FZ35" s="145"/>
      <c r="GA35" s="145"/>
      <c r="GB35" s="141"/>
      <c r="GC35" s="141"/>
      <c r="GD35" s="141"/>
      <c r="GE35" s="141"/>
      <c r="GF35" s="141"/>
      <c r="GG35" s="141"/>
      <c r="GH35" s="141"/>
      <c r="GI35" s="141"/>
      <c r="GJ35" s="141"/>
      <c r="GK35" s="141"/>
      <c r="GL35" s="141"/>
      <c r="GM35" s="141"/>
      <c r="GN35" s="141"/>
      <c r="GO35" s="141"/>
      <c r="GP35" s="141"/>
      <c r="GQ35" s="141"/>
      <c r="GR35" s="141"/>
      <c r="GS35" s="141"/>
      <c r="GT35" s="141"/>
      <c r="GU35" s="141"/>
      <c r="GV35" s="141"/>
      <c r="GW35" s="141"/>
      <c r="GX35" s="141"/>
      <c r="GY35" s="141"/>
      <c r="GZ35" s="141"/>
      <c r="HA35" s="141"/>
      <c r="HB35" s="141"/>
      <c r="HC35" s="141"/>
    </row>
    <row r="36" spans="1:211" s="111" customFormat="1">
      <c r="A36" s="109">
        <f t="shared" si="19"/>
        <v>31</v>
      </c>
      <c r="B36" s="110" t="str">
        <f>MID(RIGHT(G36,8),1,7)</f>
        <v/>
      </c>
      <c r="C36" s="110" t="str">
        <f>MID(RIGHT(H36,8),1,7)</f>
        <v/>
      </c>
      <c r="D36" s="110" t="str">
        <f>MID(RIGHT(I36,8),1,7)</f>
        <v>トラブルシュー</v>
      </c>
      <c r="E36" s="110" t="str">
        <f>MID(RIGHT(J36,8),1,7)</f>
        <v/>
      </c>
      <c r="H36" s="112"/>
      <c r="I36" s="127" t="s">
        <v>147</v>
      </c>
      <c r="J36" s="113"/>
      <c r="K36" s="114"/>
      <c r="L36" s="115"/>
      <c r="M36" s="116"/>
      <c r="N36" s="117"/>
      <c r="O36" s="115"/>
      <c r="P36" s="115"/>
      <c r="Q36" s="115"/>
      <c r="R36" s="115"/>
      <c r="S36" s="118"/>
      <c r="T36" s="119"/>
      <c r="U36" s="119"/>
      <c r="V36" s="120"/>
      <c r="W36" s="121"/>
      <c r="X36" s="119"/>
      <c r="Y36" s="119"/>
      <c r="Z36" s="122">
        <f ca="1">SUM(Z37:Z37)</f>
        <v>32</v>
      </c>
      <c r="AA36" s="128"/>
      <c r="AB36" s="123"/>
      <c r="AC36" s="124"/>
      <c r="AD36" s="124"/>
      <c r="AE36" s="124"/>
      <c r="AF36" s="124"/>
      <c r="AG36" s="124"/>
      <c r="AH36" s="125"/>
      <c r="AI36" s="125"/>
      <c r="AJ36" s="125"/>
      <c r="AK36" s="125"/>
      <c r="AL36" s="124"/>
      <c r="AM36" s="124"/>
      <c r="AN36" s="125"/>
      <c r="AO36" s="125"/>
      <c r="AP36" s="125"/>
      <c r="AQ36" s="125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24"/>
      <c r="BZ36" s="124"/>
      <c r="CA36" s="124"/>
      <c r="CB36" s="124"/>
      <c r="CC36" s="124"/>
      <c r="CD36" s="124"/>
      <c r="CE36" s="124"/>
      <c r="CF36" s="124"/>
      <c r="CG36" s="124"/>
      <c r="CH36" s="124"/>
      <c r="CI36" s="124"/>
      <c r="CJ36" s="124"/>
      <c r="CK36" s="124"/>
      <c r="CL36" s="124"/>
      <c r="CM36" s="124"/>
      <c r="CN36" s="124"/>
      <c r="CO36" s="124"/>
      <c r="CP36" s="124"/>
      <c r="CQ36" s="124"/>
      <c r="CR36" s="124"/>
      <c r="CS36" s="124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  <c r="FF36" s="124"/>
      <c r="FG36" s="124"/>
      <c r="FH36" s="124"/>
      <c r="FI36" s="124"/>
      <c r="FJ36" s="124"/>
      <c r="FK36" s="124"/>
      <c r="FL36" s="124"/>
      <c r="FM36" s="124"/>
      <c r="FN36" s="124"/>
      <c r="FO36" s="124"/>
      <c r="FP36" s="124"/>
      <c r="FQ36" s="124"/>
      <c r="FR36" s="124"/>
      <c r="FS36" s="124"/>
      <c r="FT36" s="124"/>
      <c r="FU36" s="124"/>
      <c r="FV36" s="124"/>
      <c r="FW36" s="124"/>
      <c r="FX36" s="124"/>
      <c r="FY36" s="124"/>
      <c r="FZ36" s="124"/>
      <c r="GA36" s="124"/>
      <c r="GB36" s="125"/>
      <c r="GC36" s="125"/>
      <c r="GD36" s="125"/>
      <c r="GE36" s="125"/>
      <c r="GF36" s="125"/>
      <c r="GG36" s="125"/>
      <c r="GH36" s="125"/>
      <c r="GI36" s="125"/>
      <c r="GJ36" s="125"/>
      <c r="GK36" s="125"/>
      <c r="GL36" s="125"/>
      <c r="GM36" s="125"/>
      <c r="GN36" s="125"/>
      <c r="GO36" s="125"/>
      <c r="GP36" s="125"/>
      <c r="GQ36" s="125"/>
      <c r="GR36" s="125"/>
      <c r="GS36" s="125"/>
      <c r="GT36" s="125"/>
      <c r="GU36" s="125"/>
      <c r="GV36" s="125"/>
      <c r="GW36" s="125"/>
      <c r="GX36" s="125"/>
      <c r="GY36" s="125"/>
      <c r="GZ36" s="125"/>
      <c r="HA36" s="125"/>
      <c r="HB36" s="125"/>
      <c r="HC36" s="125"/>
    </row>
    <row r="37" spans="1:211" s="138" customFormat="1">
      <c r="A37" s="133">
        <f t="shared" si="19"/>
        <v>32</v>
      </c>
      <c r="B37" s="139" t="str">
        <f t="shared" ref="B37:E40" si="57">MID(RIGHT(H37,8),1,7)</f>
        <v/>
      </c>
      <c r="C37" s="139" t="str">
        <f t="shared" si="57"/>
        <v/>
      </c>
      <c r="D37" s="139" t="str">
        <f t="shared" si="57"/>
        <v>質問・問合わせ</v>
      </c>
      <c r="E37" s="139" t="str">
        <f t="shared" si="57"/>
        <v/>
      </c>
      <c r="H37" s="131"/>
      <c r="I37" s="144"/>
      <c r="J37" s="131" t="s">
        <v>152</v>
      </c>
      <c r="K37" s="135"/>
      <c r="L37" s="136"/>
      <c r="M37" s="130"/>
      <c r="N37" s="134"/>
      <c r="O37" s="136"/>
      <c r="P37" s="136"/>
      <c r="Q37" s="136"/>
      <c r="R37" s="136"/>
      <c r="S37" s="137"/>
      <c r="T37" s="146">
        <v>41000</v>
      </c>
      <c r="U37" s="146"/>
      <c r="V37" s="129"/>
      <c r="W37" s="142" t="s">
        <v>77</v>
      </c>
      <c r="X37" s="146"/>
      <c r="Y37" s="146"/>
      <c r="Z37" s="132">
        <f t="shared" ref="Z37:Z42" ca="1" si="58">IF(SUM(AB37:HC37)=0,"",  SUM(AB37:HC37))</f>
        <v>32</v>
      </c>
      <c r="AA37" s="143"/>
      <c r="AB37" s="140" t="str">
        <f t="shared" ref="AB37:AB43" ca="1" si="59">IF($T37="","",IF($X37="",IF($T37&lt;TODAY(),"未着手","予定"),IF($Y37="",IF($U37&lt;TODAY(),"遅延","仕掛"),"完了")))</f>
        <v>未着手</v>
      </c>
      <c r="AC37" s="145"/>
      <c r="AD37" s="145"/>
      <c r="AE37" s="145">
        <v>0.25</v>
      </c>
      <c r="AF37" s="145"/>
      <c r="AG37" s="145"/>
      <c r="AH37" s="145"/>
      <c r="AI37" s="145"/>
      <c r="AJ37" s="145"/>
      <c r="AK37" s="145">
        <v>1.5</v>
      </c>
      <c r="AL37" s="145">
        <v>1</v>
      </c>
      <c r="AM37" s="145">
        <v>0.25</v>
      </c>
      <c r="AN37" s="145"/>
      <c r="AO37" s="145"/>
      <c r="AP37" s="145"/>
      <c r="AQ37" s="145"/>
      <c r="AR37" s="145">
        <v>1</v>
      </c>
      <c r="AS37" s="145"/>
      <c r="AT37" s="145">
        <v>2.75</v>
      </c>
      <c r="AU37" s="145">
        <v>1.5</v>
      </c>
      <c r="AV37" s="145"/>
      <c r="AW37" s="145"/>
      <c r="AX37" s="145">
        <v>1</v>
      </c>
      <c r="AY37" s="145">
        <v>1.5</v>
      </c>
      <c r="AZ37" s="145"/>
      <c r="BA37" s="145">
        <v>2</v>
      </c>
      <c r="BB37" s="145">
        <v>6</v>
      </c>
      <c r="BC37" s="145">
        <v>4.5</v>
      </c>
      <c r="BD37" s="145"/>
      <c r="BE37" s="145"/>
      <c r="BF37" s="145"/>
      <c r="BG37" s="145"/>
      <c r="BH37" s="145"/>
      <c r="BI37" s="145"/>
      <c r="BJ37" s="145">
        <v>0.5</v>
      </c>
      <c r="BK37" s="145">
        <v>2</v>
      </c>
      <c r="BL37" s="145"/>
      <c r="BM37" s="145">
        <v>1.25</v>
      </c>
      <c r="BN37" s="145">
        <v>3</v>
      </c>
      <c r="BO37" s="145">
        <v>0.75</v>
      </c>
      <c r="BP37" s="145">
        <v>1.25</v>
      </c>
      <c r="BQ37" s="145"/>
      <c r="BR37" s="145"/>
      <c r="BS37" s="145"/>
      <c r="BT37" s="145"/>
      <c r="BU37" s="145"/>
      <c r="BV37" s="145"/>
      <c r="BW37" s="145"/>
      <c r="BX37" s="145"/>
      <c r="BY37" s="145"/>
      <c r="BZ37" s="145"/>
      <c r="CA37" s="145"/>
      <c r="CB37" s="145"/>
      <c r="CC37" s="145"/>
      <c r="CD37" s="145"/>
      <c r="CE37" s="145"/>
      <c r="CF37" s="145"/>
      <c r="CG37" s="145"/>
      <c r="CH37" s="145"/>
      <c r="CI37" s="145"/>
      <c r="CJ37" s="145"/>
      <c r="CK37" s="145"/>
      <c r="CL37" s="145"/>
      <c r="CM37" s="145"/>
      <c r="CN37" s="145"/>
      <c r="CO37" s="145"/>
      <c r="CP37" s="145"/>
      <c r="CQ37" s="145"/>
      <c r="CR37" s="145"/>
      <c r="CS37" s="145"/>
      <c r="CT37" s="145"/>
      <c r="CU37" s="145"/>
      <c r="CV37" s="145"/>
      <c r="CW37" s="145"/>
      <c r="CX37" s="145"/>
      <c r="CY37" s="145"/>
      <c r="CZ37" s="145"/>
      <c r="DA37" s="145"/>
      <c r="DB37" s="145"/>
      <c r="DC37" s="145"/>
      <c r="DD37" s="145"/>
      <c r="DE37" s="145"/>
      <c r="DF37" s="145"/>
      <c r="DG37" s="145"/>
      <c r="DH37" s="145"/>
      <c r="DI37" s="145"/>
      <c r="DJ37" s="145"/>
      <c r="DK37" s="145"/>
      <c r="DL37" s="145"/>
      <c r="DM37" s="145"/>
      <c r="DN37" s="145"/>
      <c r="DO37" s="145"/>
      <c r="DP37" s="145"/>
      <c r="DQ37" s="145"/>
      <c r="DR37" s="145"/>
      <c r="DS37" s="145"/>
      <c r="DT37" s="145"/>
      <c r="DU37" s="145"/>
      <c r="DV37" s="145"/>
      <c r="DW37" s="145"/>
      <c r="DX37" s="145"/>
      <c r="DY37" s="145"/>
      <c r="DZ37" s="145"/>
      <c r="EA37" s="145"/>
      <c r="EB37" s="145"/>
      <c r="EC37" s="145"/>
      <c r="ED37" s="145"/>
      <c r="EE37" s="145"/>
      <c r="EF37" s="145"/>
      <c r="EG37" s="145"/>
      <c r="EH37" s="145"/>
      <c r="EI37" s="145"/>
      <c r="EJ37" s="145"/>
      <c r="EK37" s="145"/>
      <c r="EL37" s="145"/>
      <c r="EM37" s="145"/>
      <c r="EN37" s="145"/>
      <c r="EO37" s="145"/>
      <c r="EP37" s="145"/>
      <c r="EQ37" s="145"/>
      <c r="ER37" s="145"/>
      <c r="ES37" s="145"/>
      <c r="ET37" s="145"/>
      <c r="EU37" s="145"/>
      <c r="EV37" s="145"/>
      <c r="EW37" s="145"/>
      <c r="EX37" s="145"/>
      <c r="EY37" s="145"/>
      <c r="EZ37" s="145"/>
      <c r="FA37" s="145"/>
      <c r="FB37" s="145"/>
      <c r="FC37" s="145"/>
      <c r="FD37" s="145"/>
      <c r="FE37" s="145"/>
      <c r="FF37" s="145"/>
      <c r="FG37" s="145"/>
      <c r="FH37" s="145"/>
      <c r="FI37" s="145"/>
      <c r="FJ37" s="145"/>
      <c r="FK37" s="145"/>
      <c r="FL37" s="145"/>
      <c r="FM37" s="145"/>
      <c r="FN37" s="145"/>
      <c r="FO37" s="145"/>
      <c r="FP37" s="145"/>
      <c r="FQ37" s="145"/>
      <c r="FR37" s="145"/>
      <c r="FS37" s="145"/>
      <c r="FT37" s="145"/>
      <c r="FU37" s="145"/>
      <c r="FV37" s="145"/>
      <c r="FW37" s="145"/>
      <c r="FX37" s="145"/>
      <c r="FY37" s="145"/>
      <c r="FZ37" s="145"/>
      <c r="GA37" s="145"/>
      <c r="GB37" s="141"/>
      <c r="GC37" s="141"/>
      <c r="GD37" s="141"/>
      <c r="GE37" s="141"/>
      <c r="GF37" s="141"/>
      <c r="GG37" s="141"/>
      <c r="GH37" s="141"/>
      <c r="GI37" s="141"/>
      <c r="GJ37" s="141"/>
      <c r="GK37" s="141"/>
      <c r="GL37" s="141"/>
      <c r="GM37" s="141"/>
      <c r="GN37" s="141"/>
      <c r="GO37" s="141"/>
      <c r="GP37" s="141"/>
      <c r="GQ37" s="141"/>
      <c r="GR37" s="141"/>
      <c r="GS37" s="141"/>
      <c r="GT37" s="141"/>
      <c r="GU37" s="141"/>
      <c r="GV37" s="141"/>
      <c r="GW37" s="141"/>
      <c r="GX37" s="141"/>
      <c r="GY37" s="141"/>
      <c r="GZ37" s="141"/>
      <c r="HA37" s="141"/>
      <c r="HB37" s="141"/>
      <c r="HC37" s="141"/>
    </row>
    <row r="38" spans="1:211" s="138" customFormat="1">
      <c r="A38" s="133">
        <f t="shared" si="19"/>
        <v>33</v>
      </c>
      <c r="B38" s="139" t="str">
        <f t="shared" si="57"/>
        <v/>
      </c>
      <c r="C38" s="139" t="str">
        <f t="shared" si="57"/>
        <v/>
      </c>
      <c r="D38" s="139" t="str">
        <f t="shared" si="57"/>
        <v>ート(BL業務</v>
      </c>
      <c r="E38" s="139" t="str">
        <f t="shared" si="57"/>
        <v/>
      </c>
      <c r="H38" s="131"/>
      <c r="I38" s="144"/>
      <c r="J38" s="131" t="s">
        <v>161</v>
      </c>
      <c r="K38" s="135"/>
      <c r="L38" s="136"/>
      <c r="M38" s="130"/>
      <c r="N38" s="134"/>
      <c r="O38" s="136"/>
      <c r="P38" s="136"/>
      <c r="Q38" s="136"/>
      <c r="R38" s="136"/>
      <c r="S38" s="137"/>
      <c r="T38" s="146">
        <v>41000</v>
      </c>
      <c r="U38" s="146"/>
      <c r="V38" s="129"/>
      <c r="W38" s="142" t="s">
        <v>77</v>
      </c>
      <c r="X38" s="146"/>
      <c r="Y38" s="146"/>
      <c r="Z38" s="132">
        <f t="shared" ca="1" si="58"/>
        <v>4.75</v>
      </c>
      <c r="AA38" s="143"/>
      <c r="AB38" s="140" t="str">
        <f t="shared" ca="1" si="59"/>
        <v>未着手</v>
      </c>
      <c r="AC38" s="145"/>
      <c r="AD38" s="145"/>
      <c r="AE38" s="145"/>
      <c r="AF38" s="145">
        <v>4.25</v>
      </c>
      <c r="AG38" s="145"/>
      <c r="AH38" s="145"/>
      <c r="AI38" s="145"/>
      <c r="AJ38" s="145"/>
      <c r="AK38" s="145"/>
      <c r="AL38" s="145"/>
      <c r="AM38" s="145"/>
      <c r="AN38" s="145"/>
      <c r="AO38" s="145"/>
      <c r="AP38" s="145"/>
      <c r="AQ38" s="145"/>
      <c r="AR38" s="145"/>
      <c r="AS38" s="145"/>
      <c r="AT38" s="145"/>
      <c r="AU38" s="145"/>
      <c r="AV38" s="145"/>
      <c r="AW38" s="145"/>
      <c r="AX38" s="145"/>
      <c r="AY38" s="145"/>
      <c r="AZ38" s="145"/>
      <c r="BA38" s="145"/>
      <c r="BB38" s="145"/>
      <c r="BC38" s="145"/>
      <c r="BD38" s="145"/>
      <c r="BE38" s="145"/>
      <c r="BF38" s="145"/>
      <c r="BG38" s="145"/>
      <c r="BH38" s="145"/>
      <c r="BI38" s="145"/>
      <c r="BJ38" s="145"/>
      <c r="BK38" s="145"/>
      <c r="BL38" s="145"/>
      <c r="BM38" s="145"/>
      <c r="BN38" s="145"/>
      <c r="BO38" s="145">
        <v>0.5</v>
      </c>
      <c r="BP38" s="145"/>
      <c r="BQ38" s="145"/>
      <c r="BR38" s="145"/>
      <c r="BS38" s="145"/>
      <c r="BT38" s="145"/>
      <c r="BU38" s="145"/>
      <c r="BV38" s="145"/>
      <c r="BW38" s="145"/>
      <c r="BX38" s="145"/>
      <c r="BY38" s="145"/>
      <c r="BZ38" s="145"/>
      <c r="CA38" s="145"/>
      <c r="CB38" s="145"/>
      <c r="CC38" s="145"/>
      <c r="CD38" s="145"/>
      <c r="CE38" s="145"/>
      <c r="CF38" s="145"/>
      <c r="CG38" s="145"/>
      <c r="CH38" s="145"/>
      <c r="CI38" s="145"/>
      <c r="CJ38" s="145"/>
      <c r="CK38" s="145"/>
      <c r="CL38" s="145"/>
      <c r="CM38" s="145"/>
      <c r="CN38" s="145"/>
      <c r="CO38" s="145"/>
      <c r="CP38" s="145"/>
      <c r="CQ38" s="145"/>
      <c r="CR38" s="145"/>
      <c r="CS38" s="145"/>
      <c r="CT38" s="145"/>
      <c r="CU38" s="145"/>
      <c r="CV38" s="145"/>
      <c r="CW38" s="145"/>
      <c r="CX38" s="145"/>
      <c r="CY38" s="145"/>
      <c r="CZ38" s="145"/>
      <c r="DA38" s="145"/>
      <c r="DB38" s="145"/>
      <c r="DC38" s="145"/>
      <c r="DD38" s="145"/>
      <c r="DE38" s="145"/>
      <c r="DF38" s="145"/>
      <c r="DG38" s="145"/>
      <c r="DH38" s="145"/>
      <c r="DI38" s="145"/>
      <c r="DJ38" s="145"/>
      <c r="DK38" s="145"/>
      <c r="DL38" s="145"/>
      <c r="DM38" s="145"/>
      <c r="DN38" s="145"/>
      <c r="DO38" s="145"/>
      <c r="DP38" s="145"/>
      <c r="DQ38" s="145"/>
      <c r="DR38" s="145"/>
      <c r="DS38" s="145"/>
      <c r="DT38" s="145"/>
      <c r="DU38" s="145"/>
      <c r="DV38" s="145"/>
      <c r="DW38" s="145"/>
      <c r="DX38" s="145"/>
      <c r="DY38" s="145"/>
      <c r="DZ38" s="145"/>
      <c r="EA38" s="145"/>
      <c r="EB38" s="145"/>
      <c r="EC38" s="145"/>
      <c r="ED38" s="145"/>
      <c r="EE38" s="145"/>
      <c r="EF38" s="145"/>
      <c r="EG38" s="145"/>
      <c r="EH38" s="145"/>
      <c r="EI38" s="145"/>
      <c r="EJ38" s="145"/>
      <c r="EK38" s="145"/>
      <c r="EL38" s="145"/>
      <c r="EM38" s="145"/>
      <c r="EN38" s="145"/>
      <c r="EO38" s="145"/>
      <c r="EP38" s="145"/>
      <c r="EQ38" s="145"/>
      <c r="ER38" s="145"/>
      <c r="ES38" s="145"/>
      <c r="ET38" s="145"/>
      <c r="EU38" s="145"/>
      <c r="EV38" s="145"/>
      <c r="EW38" s="145"/>
      <c r="EX38" s="145"/>
      <c r="EY38" s="145"/>
      <c r="EZ38" s="145"/>
      <c r="FA38" s="145"/>
      <c r="FB38" s="145"/>
      <c r="FC38" s="145"/>
      <c r="FD38" s="145"/>
      <c r="FE38" s="145"/>
      <c r="FF38" s="145"/>
      <c r="FG38" s="145"/>
      <c r="FH38" s="145"/>
      <c r="FI38" s="145"/>
      <c r="FJ38" s="145"/>
      <c r="FK38" s="145"/>
      <c r="FL38" s="145"/>
      <c r="FM38" s="145"/>
      <c r="FN38" s="145"/>
      <c r="FO38" s="145"/>
      <c r="FP38" s="145"/>
      <c r="FQ38" s="145"/>
      <c r="FR38" s="145"/>
      <c r="FS38" s="145"/>
      <c r="FT38" s="145"/>
      <c r="FU38" s="145"/>
      <c r="FV38" s="145"/>
      <c r="FW38" s="145"/>
      <c r="FX38" s="145"/>
      <c r="FY38" s="145"/>
      <c r="FZ38" s="145"/>
      <c r="GA38" s="145"/>
      <c r="GB38" s="141"/>
      <c r="GC38" s="141"/>
      <c r="GD38" s="141"/>
      <c r="GE38" s="141"/>
      <c r="GF38" s="141"/>
      <c r="GG38" s="141"/>
      <c r="GH38" s="141"/>
      <c r="GI38" s="141"/>
      <c r="GJ38" s="141"/>
      <c r="GK38" s="141"/>
      <c r="GL38" s="141"/>
      <c r="GM38" s="141"/>
      <c r="GN38" s="141"/>
      <c r="GO38" s="141"/>
      <c r="GP38" s="141"/>
      <c r="GQ38" s="141"/>
      <c r="GR38" s="141"/>
      <c r="GS38" s="141"/>
      <c r="GT38" s="141"/>
      <c r="GU38" s="141"/>
      <c r="GV38" s="141"/>
      <c r="GW38" s="141"/>
      <c r="GX38" s="141"/>
      <c r="GY38" s="141"/>
      <c r="GZ38" s="141"/>
      <c r="HA38" s="141"/>
      <c r="HB38" s="141"/>
      <c r="HC38" s="141"/>
    </row>
    <row r="39" spans="1:211" s="138" customFormat="1">
      <c r="A39" s="133">
        <f t="shared" si="19"/>
        <v>34</v>
      </c>
      <c r="B39" s="139" t="str">
        <f t="shared" si="57"/>
        <v/>
      </c>
      <c r="C39" s="139" t="str">
        <f t="shared" si="57"/>
        <v/>
      </c>
      <c r="D39" s="139" t="str">
        <f t="shared" si="57"/>
        <v>質問・問合わせ</v>
      </c>
      <c r="E39" s="139" t="str">
        <f t="shared" si="57"/>
        <v/>
      </c>
      <c r="H39" s="131"/>
      <c r="I39" s="144"/>
      <c r="J39" s="131" t="s">
        <v>94</v>
      </c>
      <c r="K39" s="135"/>
      <c r="L39" s="136"/>
      <c r="M39" s="130"/>
      <c r="N39" s="134"/>
      <c r="O39" s="136"/>
      <c r="P39" s="136"/>
      <c r="Q39" s="136"/>
      <c r="R39" s="136"/>
      <c r="S39" s="137"/>
      <c r="T39" s="146">
        <v>41000</v>
      </c>
      <c r="U39" s="146"/>
      <c r="V39" s="129"/>
      <c r="W39" s="142" t="s">
        <v>79</v>
      </c>
      <c r="X39" s="146"/>
      <c r="Y39" s="146"/>
      <c r="Z39" s="132">
        <f t="shared" ca="1" si="58"/>
        <v>2</v>
      </c>
      <c r="AA39" s="143"/>
      <c r="AB39" s="140" t="str">
        <f t="shared" ca="1" si="59"/>
        <v>未着手</v>
      </c>
      <c r="AC39" s="145"/>
      <c r="AD39" s="145"/>
      <c r="AE39" s="145"/>
      <c r="AF39" s="145"/>
      <c r="AG39" s="145"/>
      <c r="AH39" s="145"/>
      <c r="AI39" s="145"/>
      <c r="AJ39" s="145"/>
      <c r="AK39" s="145"/>
      <c r="AL39" s="145"/>
      <c r="AM39" s="145"/>
      <c r="AN39" s="145"/>
      <c r="AO39" s="145"/>
      <c r="AP39" s="145"/>
      <c r="AQ39" s="145"/>
      <c r="AR39" s="145"/>
      <c r="AS39" s="145">
        <v>1</v>
      </c>
      <c r="AT39" s="145">
        <v>0.5</v>
      </c>
      <c r="AU39" s="145"/>
      <c r="AV39" s="145"/>
      <c r="AW39" s="145"/>
      <c r="AX39" s="145">
        <v>0.5</v>
      </c>
      <c r="AY39" s="145"/>
      <c r="AZ39" s="145"/>
      <c r="BA39" s="145"/>
      <c r="BB39" s="145"/>
      <c r="BC39" s="145"/>
      <c r="BD39" s="145"/>
      <c r="BE39" s="145"/>
      <c r="BF39" s="145"/>
      <c r="BG39" s="145"/>
      <c r="BH39" s="145"/>
      <c r="BI39" s="145"/>
      <c r="BJ39" s="145"/>
      <c r="BK39" s="145"/>
      <c r="BL39" s="145"/>
      <c r="BM39" s="145"/>
      <c r="BN39" s="145"/>
      <c r="BO39" s="145"/>
      <c r="BP39" s="145"/>
      <c r="BQ39" s="145"/>
      <c r="BR39" s="145"/>
      <c r="BS39" s="145"/>
      <c r="BT39" s="145"/>
      <c r="BU39" s="145"/>
      <c r="BV39" s="145"/>
      <c r="BW39" s="145"/>
      <c r="BX39" s="145"/>
      <c r="BY39" s="145"/>
      <c r="BZ39" s="145"/>
      <c r="CA39" s="145"/>
      <c r="CB39" s="145"/>
      <c r="CC39" s="145"/>
      <c r="CD39" s="145"/>
      <c r="CE39" s="145"/>
      <c r="CF39" s="145"/>
      <c r="CG39" s="145"/>
      <c r="CH39" s="145"/>
      <c r="CI39" s="145"/>
      <c r="CJ39" s="145"/>
      <c r="CK39" s="145"/>
      <c r="CL39" s="145"/>
      <c r="CM39" s="145"/>
      <c r="CN39" s="145"/>
      <c r="CO39" s="145"/>
      <c r="CP39" s="145"/>
      <c r="CQ39" s="145"/>
      <c r="CR39" s="145"/>
      <c r="CS39" s="145"/>
      <c r="CT39" s="145"/>
      <c r="CU39" s="145"/>
      <c r="CV39" s="145"/>
      <c r="CW39" s="145"/>
      <c r="CX39" s="145"/>
      <c r="CY39" s="145"/>
      <c r="CZ39" s="145"/>
      <c r="DA39" s="145"/>
      <c r="DB39" s="145"/>
      <c r="DC39" s="145"/>
      <c r="DD39" s="145"/>
      <c r="DE39" s="145"/>
      <c r="DF39" s="145"/>
      <c r="DG39" s="145"/>
      <c r="DH39" s="145"/>
      <c r="DI39" s="145"/>
      <c r="DJ39" s="145"/>
      <c r="DK39" s="145"/>
      <c r="DL39" s="145"/>
      <c r="DM39" s="145"/>
      <c r="DN39" s="145"/>
      <c r="DO39" s="145"/>
      <c r="DP39" s="145"/>
      <c r="DQ39" s="145"/>
      <c r="DR39" s="145"/>
      <c r="DS39" s="145"/>
      <c r="DT39" s="145"/>
      <c r="DU39" s="145"/>
      <c r="DV39" s="145"/>
      <c r="DW39" s="145"/>
      <c r="DX39" s="145"/>
      <c r="DY39" s="145"/>
      <c r="DZ39" s="145"/>
      <c r="EA39" s="145"/>
      <c r="EB39" s="145"/>
      <c r="EC39" s="145"/>
      <c r="ED39" s="145"/>
      <c r="EE39" s="145"/>
      <c r="EF39" s="145"/>
      <c r="EG39" s="145"/>
      <c r="EH39" s="145"/>
      <c r="EI39" s="145"/>
      <c r="EJ39" s="145"/>
      <c r="EK39" s="145"/>
      <c r="EL39" s="145"/>
      <c r="EM39" s="145"/>
      <c r="EN39" s="145"/>
      <c r="EO39" s="145"/>
      <c r="EP39" s="145"/>
      <c r="EQ39" s="145"/>
      <c r="ER39" s="145"/>
      <c r="ES39" s="145"/>
      <c r="ET39" s="145"/>
      <c r="EU39" s="145"/>
      <c r="EV39" s="145"/>
      <c r="EW39" s="145"/>
      <c r="EX39" s="145"/>
      <c r="EY39" s="145"/>
      <c r="EZ39" s="145"/>
      <c r="FA39" s="145"/>
      <c r="FB39" s="145"/>
      <c r="FC39" s="145"/>
      <c r="FD39" s="145"/>
      <c r="FE39" s="145"/>
      <c r="FF39" s="145"/>
      <c r="FG39" s="145"/>
      <c r="FH39" s="145"/>
      <c r="FI39" s="145"/>
      <c r="FJ39" s="145"/>
      <c r="FK39" s="145"/>
      <c r="FL39" s="145"/>
      <c r="FM39" s="145"/>
      <c r="FN39" s="145"/>
      <c r="FO39" s="145"/>
      <c r="FP39" s="145"/>
      <c r="FQ39" s="145"/>
      <c r="FR39" s="145"/>
      <c r="FS39" s="145"/>
      <c r="FT39" s="145"/>
      <c r="FU39" s="145"/>
      <c r="FV39" s="145"/>
      <c r="FW39" s="145"/>
      <c r="FX39" s="145"/>
      <c r="FY39" s="145"/>
      <c r="FZ39" s="145"/>
      <c r="GA39" s="145"/>
      <c r="GB39" s="141"/>
      <c r="GC39" s="141"/>
      <c r="GD39" s="141"/>
      <c r="GE39" s="141"/>
      <c r="GF39" s="141"/>
      <c r="GG39" s="141"/>
      <c r="GH39" s="141"/>
      <c r="GI39" s="141"/>
      <c r="GJ39" s="141"/>
      <c r="GK39" s="141"/>
      <c r="GL39" s="141"/>
      <c r="GM39" s="141"/>
      <c r="GN39" s="141"/>
      <c r="GO39" s="141"/>
      <c r="GP39" s="141"/>
      <c r="GQ39" s="141"/>
      <c r="GR39" s="141"/>
      <c r="GS39" s="141"/>
      <c r="GT39" s="141"/>
      <c r="GU39" s="141"/>
      <c r="GV39" s="141"/>
      <c r="GW39" s="141"/>
      <c r="GX39" s="141"/>
      <c r="GY39" s="141"/>
      <c r="GZ39" s="141"/>
      <c r="HA39" s="141"/>
      <c r="HB39" s="141"/>
      <c r="HC39" s="141"/>
    </row>
    <row r="40" spans="1:211" s="138" customFormat="1">
      <c r="A40" s="133">
        <f t="shared" si="19"/>
        <v>35</v>
      </c>
      <c r="B40" s="139" t="str">
        <f t="shared" si="57"/>
        <v/>
      </c>
      <c r="C40" s="139" t="str">
        <f t="shared" si="57"/>
        <v/>
      </c>
      <c r="D40" s="139" t="str">
        <f t="shared" si="57"/>
        <v>ート(BL業務</v>
      </c>
      <c r="E40" s="139" t="str">
        <f t="shared" si="57"/>
        <v/>
      </c>
      <c r="H40" s="131"/>
      <c r="I40" s="144"/>
      <c r="J40" s="131" t="s">
        <v>95</v>
      </c>
      <c r="K40" s="135"/>
      <c r="L40" s="136"/>
      <c r="M40" s="130"/>
      <c r="N40" s="134"/>
      <c r="O40" s="136"/>
      <c r="P40" s="136"/>
      <c r="Q40" s="136"/>
      <c r="R40" s="136"/>
      <c r="S40" s="137"/>
      <c r="T40" s="146">
        <v>41000</v>
      </c>
      <c r="U40" s="146"/>
      <c r="V40" s="129"/>
      <c r="W40" s="142" t="s">
        <v>79</v>
      </c>
      <c r="X40" s="146"/>
      <c r="Y40" s="146"/>
      <c r="Z40" s="132">
        <f t="shared" ca="1" si="58"/>
        <v>8.5</v>
      </c>
      <c r="AA40" s="143"/>
      <c r="AB40" s="140" t="str">
        <f t="shared" ca="1" si="59"/>
        <v>未着手</v>
      </c>
      <c r="AC40" s="145"/>
      <c r="AD40" s="145"/>
      <c r="AE40" s="145"/>
      <c r="AF40" s="145">
        <v>2</v>
      </c>
      <c r="AG40" s="145"/>
      <c r="AH40" s="145"/>
      <c r="AI40" s="145"/>
      <c r="AJ40" s="145"/>
      <c r="AK40" s="145"/>
      <c r="AL40" s="145"/>
      <c r="AM40" s="145"/>
      <c r="AN40" s="145"/>
      <c r="AO40" s="145"/>
      <c r="AP40" s="145"/>
      <c r="AQ40" s="145"/>
      <c r="AR40" s="145"/>
      <c r="AS40" s="145"/>
      <c r="AT40" s="145"/>
      <c r="AU40" s="145"/>
      <c r="AV40" s="145"/>
      <c r="AW40" s="145"/>
      <c r="AX40" s="145"/>
      <c r="AY40" s="145">
        <v>2</v>
      </c>
      <c r="AZ40" s="145">
        <v>4.5</v>
      </c>
      <c r="BA40" s="145"/>
      <c r="BB40" s="145"/>
      <c r="BC40" s="145"/>
      <c r="BD40" s="145"/>
      <c r="BE40" s="145"/>
      <c r="BF40" s="145"/>
      <c r="BG40" s="145"/>
      <c r="BH40" s="145"/>
      <c r="BI40" s="145"/>
      <c r="BJ40" s="145"/>
      <c r="BK40" s="145"/>
      <c r="BL40" s="145"/>
      <c r="BM40" s="145"/>
      <c r="BN40" s="145"/>
      <c r="BO40" s="145"/>
      <c r="BP40" s="145"/>
      <c r="BQ40" s="145"/>
      <c r="BR40" s="145"/>
      <c r="BS40" s="145"/>
      <c r="BT40" s="145"/>
      <c r="BU40" s="145"/>
      <c r="BV40" s="145"/>
      <c r="BW40" s="145"/>
      <c r="BX40" s="145"/>
      <c r="BY40" s="145"/>
      <c r="BZ40" s="145"/>
      <c r="CA40" s="145"/>
      <c r="CB40" s="145"/>
      <c r="CC40" s="145"/>
      <c r="CD40" s="145"/>
      <c r="CE40" s="145"/>
      <c r="CF40" s="145"/>
      <c r="CG40" s="145"/>
      <c r="CH40" s="145"/>
      <c r="CI40" s="145"/>
      <c r="CJ40" s="145"/>
      <c r="CK40" s="145"/>
      <c r="CL40" s="145"/>
      <c r="CM40" s="145"/>
      <c r="CN40" s="145"/>
      <c r="CO40" s="145"/>
      <c r="CP40" s="145"/>
      <c r="CQ40" s="145"/>
      <c r="CR40" s="145"/>
      <c r="CS40" s="145"/>
      <c r="CT40" s="145"/>
      <c r="CU40" s="145"/>
      <c r="CV40" s="145"/>
      <c r="CW40" s="145"/>
      <c r="CX40" s="145"/>
      <c r="CY40" s="145"/>
      <c r="CZ40" s="145"/>
      <c r="DA40" s="145"/>
      <c r="DB40" s="145"/>
      <c r="DC40" s="145"/>
      <c r="DD40" s="145"/>
      <c r="DE40" s="145"/>
      <c r="DF40" s="145"/>
      <c r="DG40" s="145"/>
      <c r="DH40" s="145"/>
      <c r="DI40" s="145"/>
      <c r="DJ40" s="145"/>
      <c r="DK40" s="145"/>
      <c r="DL40" s="145"/>
      <c r="DM40" s="145"/>
      <c r="DN40" s="145"/>
      <c r="DO40" s="145"/>
      <c r="DP40" s="145"/>
      <c r="DQ40" s="145"/>
      <c r="DR40" s="145"/>
      <c r="DS40" s="145"/>
      <c r="DT40" s="145"/>
      <c r="DU40" s="145"/>
      <c r="DV40" s="145"/>
      <c r="DW40" s="145"/>
      <c r="DX40" s="145"/>
      <c r="DY40" s="145"/>
      <c r="DZ40" s="145"/>
      <c r="EA40" s="145"/>
      <c r="EB40" s="145"/>
      <c r="EC40" s="145"/>
      <c r="ED40" s="145"/>
      <c r="EE40" s="145"/>
      <c r="EF40" s="145"/>
      <c r="EG40" s="145"/>
      <c r="EH40" s="145"/>
      <c r="EI40" s="145"/>
      <c r="EJ40" s="145"/>
      <c r="EK40" s="145"/>
      <c r="EL40" s="145"/>
      <c r="EM40" s="145"/>
      <c r="EN40" s="145"/>
      <c r="EO40" s="145"/>
      <c r="EP40" s="145"/>
      <c r="EQ40" s="145"/>
      <c r="ER40" s="145"/>
      <c r="ES40" s="145"/>
      <c r="ET40" s="145"/>
      <c r="EU40" s="145"/>
      <c r="EV40" s="145"/>
      <c r="EW40" s="145"/>
      <c r="EX40" s="145"/>
      <c r="EY40" s="145"/>
      <c r="EZ40" s="145"/>
      <c r="FA40" s="145"/>
      <c r="FB40" s="145"/>
      <c r="FC40" s="145"/>
      <c r="FD40" s="145"/>
      <c r="FE40" s="145"/>
      <c r="FF40" s="145"/>
      <c r="FG40" s="145"/>
      <c r="FH40" s="145"/>
      <c r="FI40" s="145"/>
      <c r="FJ40" s="145"/>
      <c r="FK40" s="145"/>
      <c r="FL40" s="145"/>
      <c r="FM40" s="145"/>
      <c r="FN40" s="145"/>
      <c r="FO40" s="145"/>
      <c r="FP40" s="145"/>
      <c r="FQ40" s="145"/>
      <c r="FR40" s="145"/>
      <c r="FS40" s="145"/>
      <c r="FT40" s="145"/>
      <c r="FU40" s="145"/>
      <c r="FV40" s="145"/>
      <c r="FW40" s="145"/>
      <c r="FX40" s="145"/>
      <c r="FY40" s="145"/>
      <c r="FZ40" s="145"/>
      <c r="GA40" s="145"/>
      <c r="GB40" s="141"/>
      <c r="GC40" s="141"/>
      <c r="GD40" s="141"/>
      <c r="GE40" s="141"/>
      <c r="GF40" s="141"/>
      <c r="GG40" s="141"/>
      <c r="GH40" s="141"/>
      <c r="GI40" s="141"/>
      <c r="GJ40" s="141"/>
      <c r="GK40" s="141"/>
      <c r="GL40" s="141"/>
      <c r="GM40" s="141"/>
      <c r="GN40" s="141"/>
      <c r="GO40" s="141"/>
      <c r="GP40" s="141"/>
      <c r="GQ40" s="141"/>
      <c r="GR40" s="141"/>
      <c r="GS40" s="141"/>
      <c r="GT40" s="141"/>
      <c r="GU40" s="141"/>
      <c r="GV40" s="141"/>
      <c r="GW40" s="141"/>
      <c r="GX40" s="141"/>
      <c r="GY40" s="141"/>
      <c r="GZ40" s="141"/>
      <c r="HA40" s="141"/>
      <c r="HB40" s="141"/>
      <c r="HC40" s="141"/>
    </row>
    <row r="41" spans="1:211" s="138" customFormat="1">
      <c r="A41" s="133">
        <f t="shared" si="19"/>
        <v>36</v>
      </c>
      <c r="B41" s="139" t="str">
        <f t="shared" ref="B41:B42" si="60">MID(RIGHT(H41,8),1,7)</f>
        <v/>
      </c>
      <c r="C41" s="139" t="str">
        <f t="shared" ref="C41:C42" si="61">MID(RIGHT(I41,8),1,7)</f>
        <v/>
      </c>
      <c r="D41" s="139" t="str">
        <f t="shared" ref="D41:D42" si="62">MID(RIGHT(J41,8),1,7)</f>
        <v>質問・問合わせ</v>
      </c>
      <c r="E41" s="139" t="str">
        <f t="shared" ref="E41:E42" si="63">MID(RIGHT(K41,8),1,7)</f>
        <v/>
      </c>
      <c r="H41" s="131"/>
      <c r="I41" s="144"/>
      <c r="J41" s="131" t="s">
        <v>94</v>
      </c>
      <c r="K41" s="135"/>
      <c r="L41" s="136"/>
      <c r="M41" s="130"/>
      <c r="N41" s="134"/>
      <c r="O41" s="136"/>
      <c r="P41" s="136"/>
      <c r="Q41" s="136"/>
      <c r="R41" s="136"/>
      <c r="S41" s="137"/>
      <c r="T41" s="146">
        <v>41000</v>
      </c>
      <c r="U41" s="146"/>
      <c r="V41" s="129"/>
      <c r="W41" s="142" t="s">
        <v>155</v>
      </c>
      <c r="X41" s="146"/>
      <c r="Y41" s="146"/>
      <c r="Z41" s="132">
        <f t="shared" ca="1" si="58"/>
        <v>1</v>
      </c>
      <c r="AA41" s="143"/>
      <c r="AB41" s="140" t="str">
        <f t="shared" ca="1" si="59"/>
        <v>未着手</v>
      </c>
      <c r="AC41" s="145"/>
      <c r="AD41" s="145"/>
      <c r="AE41" s="145"/>
      <c r="AF41" s="145"/>
      <c r="AG41" s="145"/>
      <c r="AH41" s="145"/>
      <c r="AI41" s="145"/>
      <c r="AJ41" s="145"/>
      <c r="AK41" s="145"/>
      <c r="AL41" s="145"/>
      <c r="AM41" s="145"/>
      <c r="AN41" s="145"/>
      <c r="AO41" s="145"/>
      <c r="AP41" s="145"/>
      <c r="AQ41" s="145"/>
      <c r="AR41" s="145"/>
      <c r="AS41" s="145"/>
      <c r="AT41" s="145"/>
      <c r="AU41" s="145"/>
      <c r="AV41" s="145"/>
      <c r="AW41" s="145"/>
      <c r="AX41" s="145"/>
      <c r="AY41" s="145"/>
      <c r="AZ41" s="145"/>
      <c r="BA41" s="145"/>
      <c r="BB41" s="145"/>
      <c r="BC41" s="145"/>
      <c r="BD41" s="145"/>
      <c r="BE41" s="145"/>
      <c r="BF41" s="145"/>
      <c r="BG41" s="145"/>
      <c r="BH41" s="145"/>
      <c r="BI41" s="145"/>
      <c r="BJ41" s="145"/>
      <c r="BK41" s="145"/>
      <c r="BL41" s="145"/>
      <c r="BM41" s="145"/>
      <c r="BN41" s="145"/>
      <c r="BO41" s="145"/>
      <c r="BP41" s="145"/>
      <c r="BQ41" s="145"/>
      <c r="BR41" s="145">
        <v>1</v>
      </c>
      <c r="BS41" s="145"/>
      <c r="BT41" s="145"/>
      <c r="BU41" s="145"/>
      <c r="BV41" s="145"/>
      <c r="BW41" s="145"/>
      <c r="BX41" s="145"/>
      <c r="BY41" s="145"/>
      <c r="BZ41" s="145"/>
      <c r="CA41" s="145"/>
      <c r="CB41" s="145"/>
      <c r="CC41" s="145"/>
      <c r="CD41" s="145"/>
      <c r="CE41" s="145"/>
      <c r="CF41" s="145"/>
      <c r="CG41" s="145"/>
      <c r="CH41" s="145"/>
      <c r="CI41" s="145"/>
      <c r="CJ41" s="145"/>
      <c r="CK41" s="145"/>
      <c r="CL41" s="145"/>
      <c r="CM41" s="145"/>
      <c r="CN41" s="145"/>
      <c r="CO41" s="145"/>
      <c r="CP41" s="145"/>
      <c r="CQ41" s="145"/>
      <c r="CR41" s="145"/>
      <c r="CS41" s="145"/>
      <c r="CT41" s="145"/>
      <c r="CU41" s="145"/>
      <c r="CV41" s="145"/>
      <c r="CW41" s="145"/>
      <c r="CX41" s="145"/>
      <c r="CY41" s="145"/>
      <c r="CZ41" s="145"/>
      <c r="DA41" s="145"/>
      <c r="DB41" s="145"/>
      <c r="DC41" s="145"/>
      <c r="DD41" s="145"/>
      <c r="DE41" s="145"/>
      <c r="DF41" s="145"/>
      <c r="DG41" s="145"/>
      <c r="DH41" s="145"/>
      <c r="DI41" s="145"/>
      <c r="DJ41" s="145"/>
      <c r="DK41" s="145"/>
      <c r="DL41" s="145"/>
      <c r="DM41" s="145"/>
      <c r="DN41" s="145"/>
      <c r="DO41" s="145"/>
      <c r="DP41" s="145"/>
      <c r="DQ41" s="145"/>
      <c r="DR41" s="145"/>
      <c r="DS41" s="145"/>
      <c r="DT41" s="145"/>
      <c r="DU41" s="145"/>
      <c r="DV41" s="145"/>
      <c r="DW41" s="145"/>
      <c r="DX41" s="145"/>
      <c r="DY41" s="145"/>
      <c r="DZ41" s="145"/>
      <c r="EA41" s="145"/>
      <c r="EB41" s="145"/>
      <c r="EC41" s="145"/>
      <c r="ED41" s="145"/>
      <c r="EE41" s="145"/>
      <c r="EF41" s="145"/>
      <c r="EG41" s="145"/>
      <c r="EH41" s="145"/>
      <c r="EI41" s="145"/>
      <c r="EJ41" s="145"/>
      <c r="EK41" s="145"/>
      <c r="EL41" s="145"/>
      <c r="EM41" s="145"/>
      <c r="EN41" s="145"/>
      <c r="EO41" s="145"/>
      <c r="EP41" s="145"/>
      <c r="EQ41" s="145"/>
      <c r="ER41" s="145"/>
      <c r="ES41" s="145"/>
      <c r="ET41" s="145"/>
      <c r="EU41" s="145"/>
      <c r="EV41" s="145"/>
      <c r="EW41" s="145"/>
      <c r="EX41" s="145"/>
      <c r="EY41" s="145"/>
      <c r="EZ41" s="145"/>
      <c r="FA41" s="145"/>
      <c r="FB41" s="145"/>
      <c r="FC41" s="145"/>
      <c r="FD41" s="145"/>
      <c r="FE41" s="145"/>
      <c r="FF41" s="145"/>
      <c r="FG41" s="145"/>
      <c r="FH41" s="145"/>
      <c r="FI41" s="145"/>
      <c r="FJ41" s="145"/>
      <c r="FK41" s="145"/>
      <c r="FL41" s="145"/>
      <c r="FM41" s="145"/>
      <c r="FN41" s="145"/>
      <c r="FO41" s="145"/>
      <c r="FP41" s="145"/>
      <c r="FQ41" s="145"/>
      <c r="FR41" s="145"/>
      <c r="FS41" s="145"/>
      <c r="FT41" s="145"/>
      <c r="FU41" s="145"/>
      <c r="FV41" s="145"/>
      <c r="FW41" s="145"/>
      <c r="FX41" s="145"/>
      <c r="FY41" s="145"/>
      <c r="FZ41" s="145"/>
      <c r="GA41" s="145"/>
      <c r="GB41" s="141"/>
      <c r="GC41" s="141"/>
      <c r="GD41" s="141"/>
      <c r="GE41" s="141"/>
      <c r="GF41" s="141"/>
      <c r="GG41" s="141"/>
      <c r="GH41" s="141"/>
      <c r="GI41" s="141"/>
      <c r="GJ41" s="141"/>
      <c r="GK41" s="141"/>
      <c r="GL41" s="141"/>
      <c r="GM41" s="141"/>
      <c r="GN41" s="141"/>
      <c r="GO41" s="141"/>
      <c r="GP41" s="141"/>
      <c r="GQ41" s="141"/>
      <c r="GR41" s="141"/>
      <c r="GS41" s="141"/>
      <c r="GT41" s="141"/>
      <c r="GU41" s="141"/>
      <c r="GV41" s="141"/>
      <c r="GW41" s="141"/>
      <c r="GX41" s="141"/>
      <c r="GY41" s="141"/>
      <c r="GZ41" s="141"/>
      <c r="HA41" s="141"/>
      <c r="HB41" s="141"/>
      <c r="HC41" s="141"/>
    </row>
    <row r="42" spans="1:211" s="138" customFormat="1">
      <c r="A42" s="133">
        <f t="shared" si="19"/>
        <v>37</v>
      </c>
      <c r="B42" s="139" t="str">
        <f t="shared" si="60"/>
        <v/>
      </c>
      <c r="C42" s="139" t="str">
        <f t="shared" si="61"/>
        <v/>
      </c>
      <c r="D42" s="139" t="str">
        <f t="shared" si="62"/>
        <v>ート(BL業務</v>
      </c>
      <c r="E42" s="139" t="str">
        <f t="shared" si="63"/>
        <v/>
      </c>
      <c r="H42" s="131"/>
      <c r="I42" s="144"/>
      <c r="J42" s="131" t="s">
        <v>95</v>
      </c>
      <c r="K42" s="135"/>
      <c r="L42" s="136"/>
      <c r="M42" s="130"/>
      <c r="N42" s="134"/>
      <c r="O42" s="136"/>
      <c r="P42" s="136"/>
      <c r="Q42" s="136"/>
      <c r="R42" s="136"/>
      <c r="S42" s="137"/>
      <c r="T42" s="146">
        <v>41000</v>
      </c>
      <c r="U42" s="146"/>
      <c r="V42" s="129"/>
      <c r="W42" s="142" t="s">
        <v>155</v>
      </c>
      <c r="X42" s="146"/>
      <c r="Y42" s="146"/>
      <c r="Z42" s="132">
        <f t="shared" ca="1" si="58"/>
        <v>2</v>
      </c>
      <c r="AA42" s="143"/>
      <c r="AB42" s="140" t="str">
        <f t="shared" ca="1" si="59"/>
        <v>未着手</v>
      </c>
      <c r="AC42" s="145"/>
      <c r="AD42" s="145"/>
      <c r="AE42" s="145"/>
      <c r="AF42" s="145"/>
      <c r="AG42" s="145"/>
      <c r="AH42" s="145"/>
      <c r="AI42" s="145"/>
      <c r="AJ42" s="145"/>
      <c r="AK42" s="145"/>
      <c r="AL42" s="145"/>
      <c r="AM42" s="145"/>
      <c r="AN42" s="145"/>
      <c r="AO42" s="145"/>
      <c r="AP42" s="145"/>
      <c r="AQ42" s="145"/>
      <c r="AR42" s="145"/>
      <c r="AS42" s="145"/>
      <c r="AT42" s="145"/>
      <c r="AU42" s="145"/>
      <c r="AV42" s="145"/>
      <c r="AW42" s="145"/>
      <c r="AX42" s="145"/>
      <c r="AY42" s="145"/>
      <c r="AZ42" s="145"/>
      <c r="BA42" s="145"/>
      <c r="BB42" s="145"/>
      <c r="BC42" s="145"/>
      <c r="BD42" s="145"/>
      <c r="BE42" s="145"/>
      <c r="BF42" s="145"/>
      <c r="BG42" s="145"/>
      <c r="BH42" s="145"/>
      <c r="BI42" s="145"/>
      <c r="BJ42" s="145"/>
      <c r="BK42" s="145"/>
      <c r="BL42" s="145"/>
      <c r="BM42" s="145"/>
      <c r="BN42" s="145"/>
      <c r="BO42" s="145"/>
      <c r="BP42" s="145"/>
      <c r="BQ42" s="145"/>
      <c r="BR42" s="145">
        <v>2</v>
      </c>
      <c r="BS42" s="145"/>
      <c r="BT42" s="145"/>
      <c r="BU42" s="145"/>
      <c r="BV42" s="145"/>
      <c r="BW42" s="145"/>
      <c r="BX42" s="145"/>
      <c r="BY42" s="145"/>
      <c r="BZ42" s="145"/>
      <c r="CA42" s="145"/>
      <c r="CB42" s="145"/>
      <c r="CC42" s="145"/>
      <c r="CD42" s="145"/>
      <c r="CE42" s="145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145"/>
      <c r="CU42" s="145"/>
      <c r="CV42" s="145"/>
      <c r="CW42" s="145"/>
      <c r="CX42" s="145"/>
      <c r="CY42" s="145"/>
      <c r="CZ42" s="145"/>
      <c r="DA42" s="145"/>
      <c r="DB42" s="145"/>
      <c r="DC42" s="145"/>
      <c r="DD42" s="145"/>
      <c r="DE42" s="145"/>
      <c r="DF42" s="145"/>
      <c r="DG42" s="145"/>
      <c r="DH42" s="145"/>
      <c r="DI42" s="145"/>
      <c r="DJ42" s="145"/>
      <c r="DK42" s="145"/>
      <c r="DL42" s="145"/>
      <c r="DM42" s="145"/>
      <c r="DN42" s="145"/>
      <c r="DO42" s="145"/>
      <c r="DP42" s="145"/>
      <c r="DQ42" s="145"/>
      <c r="DR42" s="145"/>
      <c r="DS42" s="145"/>
      <c r="DT42" s="145"/>
      <c r="DU42" s="145"/>
      <c r="DV42" s="145"/>
      <c r="DW42" s="145"/>
      <c r="DX42" s="145"/>
      <c r="DY42" s="145"/>
      <c r="DZ42" s="145"/>
      <c r="EA42" s="145"/>
      <c r="EB42" s="145"/>
      <c r="EC42" s="145"/>
      <c r="ED42" s="145"/>
      <c r="EE42" s="145"/>
      <c r="EF42" s="145"/>
      <c r="EG42" s="145"/>
      <c r="EH42" s="145"/>
      <c r="EI42" s="145"/>
      <c r="EJ42" s="145"/>
      <c r="EK42" s="145"/>
      <c r="EL42" s="145"/>
      <c r="EM42" s="145"/>
      <c r="EN42" s="145"/>
      <c r="EO42" s="145"/>
      <c r="EP42" s="145"/>
      <c r="EQ42" s="145"/>
      <c r="ER42" s="145"/>
      <c r="ES42" s="145"/>
      <c r="ET42" s="145"/>
      <c r="EU42" s="145"/>
      <c r="EV42" s="145"/>
      <c r="EW42" s="145"/>
      <c r="EX42" s="145"/>
      <c r="EY42" s="145"/>
      <c r="EZ42" s="145"/>
      <c r="FA42" s="145"/>
      <c r="FB42" s="145"/>
      <c r="FC42" s="145"/>
      <c r="FD42" s="145"/>
      <c r="FE42" s="145"/>
      <c r="FF42" s="145"/>
      <c r="FG42" s="145"/>
      <c r="FH42" s="145"/>
      <c r="FI42" s="145"/>
      <c r="FJ42" s="145"/>
      <c r="FK42" s="145"/>
      <c r="FL42" s="145"/>
      <c r="FM42" s="145"/>
      <c r="FN42" s="145"/>
      <c r="FO42" s="145"/>
      <c r="FP42" s="145"/>
      <c r="FQ42" s="145"/>
      <c r="FR42" s="145"/>
      <c r="FS42" s="145"/>
      <c r="FT42" s="145"/>
      <c r="FU42" s="145"/>
      <c r="FV42" s="145"/>
      <c r="FW42" s="145"/>
      <c r="FX42" s="145"/>
      <c r="FY42" s="145"/>
      <c r="FZ42" s="145"/>
      <c r="GA42" s="145"/>
      <c r="GB42" s="141"/>
      <c r="GC42" s="141"/>
      <c r="GD42" s="141"/>
      <c r="GE42" s="141"/>
      <c r="GF42" s="141"/>
      <c r="GG42" s="141"/>
      <c r="GH42" s="141"/>
      <c r="GI42" s="141"/>
      <c r="GJ42" s="141"/>
      <c r="GK42" s="141"/>
      <c r="GL42" s="141"/>
      <c r="GM42" s="141"/>
      <c r="GN42" s="141"/>
      <c r="GO42" s="141"/>
      <c r="GP42" s="141"/>
      <c r="GQ42" s="141"/>
      <c r="GR42" s="141"/>
      <c r="GS42" s="141"/>
      <c r="GT42" s="141"/>
      <c r="GU42" s="141"/>
      <c r="GV42" s="141"/>
      <c r="GW42" s="141"/>
      <c r="GX42" s="141"/>
      <c r="GY42" s="141"/>
      <c r="GZ42" s="141"/>
      <c r="HA42" s="141"/>
      <c r="HB42" s="141"/>
      <c r="HC42" s="141"/>
    </row>
    <row r="43" spans="1:211" s="138" customFormat="1">
      <c r="A43" s="133">
        <f t="shared" si="19"/>
        <v>38</v>
      </c>
      <c r="B43" s="139" t="str">
        <f t="shared" ref="B43" si="64">MID(RIGHT(H43,8),1,7)</f>
        <v/>
      </c>
      <c r="C43" s="139" t="str">
        <f t="shared" ref="C43" si="65">MID(RIGHT(I43,8),1,7)</f>
        <v/>
      </c>
      <c r="D43" s="139" t="str">
        <f t="shared" ref="D43" si="66">MID(RIGHT(J43,8),1,7)</f>
        <v>質問・問合わせ</v>
      </c>
      <c r="E43" s="139" t="str">
        <f t="shared" ref="E43" si="67">MID(RIGHT(K43,8),1,7)</f>
        <v/>
      </c>
      <c r="H43" s="131"/>
      <c r="I43" s="144"/>
      <c r="J43" s="131" t="s">
        <v>94</v>
      </c>
      <c r="K43" s="135"/>
      <c r="L43" s="136"/>
      <c r="M43" s="130"/>
      <c r="N43" s="134"/>
      <c r="O43" s="136"/>
      <c r="P43" s="136"/>
      <c r="Q43" s="136"/>
      <c r="R43" s="136"/>
      <c r="S43" s="137"/>
      <c r="T43" s="146"/>
      <c r="U43" s="146"/>
      <c r="V43" s="129"/>
      <c r="W43" s="142" t="s">
        <v>45</v>
      </c>
      <c r="X43" s="146"/>
      <c r="Y43" s="146"/>
      <c r="Z43" s="132">
        <f t="shared" ref="Z43" ca="1" si="68">IF(SUM(AB43:HC43)=0,"",  SUM(AB43:HC43))</f>
        <v>0.25</v>
      </c>
      <c r="AA43" s="143"/>
      <c r="AB43" s="140" t="str">
        <f t="shared" ca="1" si="59"/>
        <v/>
      </c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5"/>
      <c r="AV43" s="145"/>
      <c r="AW43" s="145"/>
      <c r="AX43" s="145"/>
      <c r="AY43" s="145"/>
      <c r="AZ43" s="145"/>
      <c r="BA43" s="145"/>
      <c r="BB43" s="145"/>
      <c r="BC43" s="145"/>
      <c r="BD43" s="145"/>
      <c r="BE43" s="145"/>
      <c r="BF43" s="145"/>
      <c r="BG43" s="145"/>
      <c r="BH43" s="145"/>
      <c r="BI43" s="145"/>
      <c r="BJ43" s="145"/>
      <c r="BK43" s="145"/>
      <c r="BL43" s="145"/>
      <c r="BM43" s="145"/>
      <c r="BN43" s="145"/>
      <c r="BO43" s="145"/>
      <c r="BP43" s="145"/>
      <c r="BQ43" s="145"/>
      <c r="BR43" s="145"/>
      <c r="BS43" s="145"/>
      <c r="BT43" s="145"/>
      <c r="BU43" s="145"/>
      <c r="BV43" s="145"/>
      <c r="BW43" s="145"/>
      <c r="BX43" s="145"/>
      <c r="BY43" s="145"/>
      <c r="BZ43" s="145"/>
      <c r="CA43" s="145"/>
      <c r="CB43" s="145"/>
      <c r="CC43" s="145"/>
      <c r="CD43" s="145"/>
      <c r="CE43" s="145"/>
      <c r="CF43" s="145"/>
      <c r="CG43" s="145"/>
      <c r="CH43" s="145"/>
      <c r="CI43" s="145">
        <v>0.25</v>
      </c>
      <c r="CJ43" s="145"/>
      <c r="CK43" s="145"/>
      <c r="CL43" s="145"/>
      <c r="CM43" s="145"/>
      <c r="CN43" s="145"/>
      <c r="CO43" s="145"/>
      <c r="CP43" s="145"/>
      <c r="CQ43" s="145"/>
      <c r="CR43" s="145"/>
      <c r="CS43" s="145"/>
      <c r="CT43" s="145"/>
      <c r="CU43" s="145"/>
      <c r="CV43" s="145"/>
      <c r="CW43" s="145"/>
      <c r="CX43" s="145"/>
      <c r="CY43" s="145"/>
      <c r="CZ43" s="145"/>
      <c r="DA43" s="145"/>
      <c r="DB43" s="145"/>
      <c r="DC43" s="145"/>
      <c r="DD43" s="145"/>
      <c r="DE43" s="145"/>
      <c r="DF43" s="145"/>
      <c r="DG43" s="145"/>
      <c r="DH43" s="145"/>
      <c r="DI43" s="145"/>
      <c r="DJ43" s="145"/>
      <c r="DK43" s="145"/>
      <c r="DL43" s="145"/>
      <c r="DM43" s="145"/>
      <c r="DN43" s="145"/>
      <c r="DO43" s="145"/>
      <c r="DP43" s="145"/>
      <c r="DQ43" s="145"/>
      <c r="DR43" s="145"/>
      <c r="DS43" s="145"/>
      <c r="DT43" s="145"/>
      <c r="DU43" s="145"/>
      <c r="DV43" s="145"/>
      <c r="DW43" s="145"/>
      <c r="DX43" s="145"/>
      <c r="DY43" s="145"/>
      <c r="DZ43" s="145"/>
      <c r="EA43" s="145"/>
      <c r="EB43" s="145"/>
      <c r="EC43" s="145"/>
      <c r="ED43" s="145"/>
      <c r="EE43" s="145"/>
      <c r="EF43" s="145"/>
      <c r="EG43" s="145"/>
      <c r="EH43" s="145"/>
      <c r="EI43" s="145"/>
      <c r="EJ43" s="145"/>
      <c r="EK43" s="145"/>
      <c r="EL43" s="145"/>
      <c r="EM43" s="145"/>
      <c r="EN43" s="145"/>
      <c r="EO43" s="145"/>
      <c r="EP43" s="145"/>
      <c r="EQ43" s="145"/>
      <c r="ER43" s="145"/>
      <c r="ES43" s="145"/>
      <c r="ET43" s="145"/>
      <c r="EU43" s="145"/>
      <c r="EV43" s="145"/>
      <c r="EW43" s="145"/>
      <c r="EX43" s="145"/>
      <c r="EY43" s="145"/>
      <c r="EZ43" s="145"/>
      <c r="FA43" s="145"/>
      <c r="FB43" s="145"/>
      <c r="FC43" s="145"/>
      <c r="FD43" s="145"/>
      <c r="FE43" s="145"/>
      <c r="FF43" s="145"/>
      <c r="FG43" s="145"/>
      <c r="FH43" s="145"/>
      <c r="FI43" s="145"/>
      <c r="FJ43" s="145"/>
      <c r="FK43" s="145"/>
      <c r="FL43" s="145"/>
      <c r="FM43" s="145"/>
      <c r="FN43" s="145"/>
      <c r="FO43" s="145"/>
      <c r="FP43" s="145"/>
      <c r="FQ43" s="145"/>
      <c r="FR43" s="145"/>
      <c r="FS43" s="145"/>
      <c r="FT43" s="145"/>
      <c r="FU43" s="145"/>
      <c r="FV43" s="145"/>
      <c r="FW43" s="145"/>
      <c r="FX43" s="145"/>
      <c r="FY43" s="145"/>
      <c r="FZ43" s="145"/>
      <c r="GA43" s="145"/>
      <c r="GB43" s="141"/>
      <c r="GC43" s="141"/>
      <c r="GD43" s="141"/>
      <c r="GE43" s="141"/>
      <c r="GF43" s="141"/>
      <c r="GG43" s="141"/>
      <c r="GH43" s="141"/>
      <c r="GI43" s="141"/>
      <c r="GJ43" s="141"/>
      <c r="GK43" s="141"/>
      <c r="GL43" s="141"/>
      <c r="GM43" s="141"/>
      <c r="GN43" s="141"/>
      <c r="GO43" s="141"/>
      <c r="GP43" s="141"/>
      <c r="GQ43" s="141"/>
      <c r="GR43" s="141"/>
      <c r="GS43" s="141"/>
      <c r="GT43" s="141"/>
      <c r="GU43" s="141"/>
      <c r="GV43" s="141"/>
      <c r="GW43" s="141"/>
      <c r="GX43" s="141"/>
      <c r="GY43" s="141"/>
      <c r="GZ43" s="141"/>
      <c r="HA43" s="141"/>
      <c r="HB43" s="141"/>
      <c r="HC43" s="141"/>
    </row>
    <row r="44" spans="1:211" s="111" customFormat="1">
      <c r="A44" s="109">
        <f t="shared" si="19"/>
        <v>39</v>
      </c>
      <c r="B44" s="110" t="str">
        <f>MID(RIGHT(G44,8),1,7)</f>
        <v/>
      </c>
      <c r="C44" s="110" t="str">
        <f>MID(RIGHT(H44,8),1,7)</f>
        <v/>
      </c>
      <c r="D44" s="110" t="str">
        <f>MID(RIGHT(I44,8),1,7)</f>
        <v>その他</v>
      </c>
      <c r="E44" s="110" t="str">
        <f>MID(RIGHT(J44,8),1,7)</f>
        <v/>
      </c>
      <c r="H44" s="112"/>
      <c r="I44" s="127" t="s">
        <v>158</v>
      </c>
      <c r="J44" s="113"/>
      <c r="K44" s="114"/>
      <c r="L44" s="115"/>
      <c r="M44" s="116"/>
      <c r="N44" s="117"/>
      <c r="O44" s="115"/>
      <c r="P44" s="115"/>
      <c r="Q44" s="115"/>
      <c r="R44" s="115"/>
      <c r="S44" s="118"/>
      <c r="T44" s="119"/>
      <c r="U44" s="119"/>
      <c r="V44" s="120"/>
      <c r="W44" s="121"/>
      <c r="X44" s="119"/>
      <c r="Y44" s="119"/>
      <c r="Z44" s="122">
        <f ca="1">SUM(Z45:Z45)</f>
        <v>36</v>
      </c>
      <c r="AA44" s="128"/>
      <c r="AB44" s="123"/>
      <c r="AC44" s="124"/>
      <c r="AD44" s="124"/>
      <c r="AE44" s="124"/>
      <c r="AF44" s="124"/>
      <c r="AG44" s="124"/>
      <c r="AH44" s="125"/>
      <c r="AI44" s="125"/>
      <c r="AJ44" s="125"/>
      <c r="AK44" s="125"/>
      <c r="AL44" s="124"/>
      <c r="AM44" s="124"/>
      <c r="AN44" s="125"/>
      <c r="AO44" s="125"/>
      <c r="AP44" s="125"/>
      <c r="AQ44" s="125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G44" s="124"/>
      <c r="BH44" s="124"/>
      <c r="BI44" s="124"/>
      <c r="BJ44" s="124"/>
      <c r="BK44" s="124"/>
      <c r="BL44" s="124"/>
      <c r="BM44" s="124"/>
      <c r="BN44" s="124"/>
      <c r="BO44" s="124"/>
      <c r="BP44" s="124"/>
      <c r="BQ44" s="124"/>
      <c r="BR44" s="124"/>
      <c r="BS44" s="124"/>
      <c r="BT44" s="124"/>
      <c r="BU44" s="124"/>
      <c r="BV44" s="124"/>
      <c r="BW44" s="124"/>
      <c r="BX44" s="124"/>
      <c r="BY44" s="124"/>
      <c r="BZ44" s="124"/>
      <c r="CA44" s="124"/>
      <c r="CB44" s="124"/>
      <c r="CC44" s="124"/>
      <c r="CD44" s="124"/>
      <c r="CE44" s="124"/>
      <c r="CF44" s="124"/>
      <c r="CG44" s="124"/>
      <c r="CH44" s="124"/>
      <c r="CI44" s="124"/>
      <c r="CJ44" s="124"/>
      <c r="CK44" s="124"/>
      <c r="CL44" s="124"/>
      <c r="CM44" s="124"/>
      <c r="CN44" s="124"/>
      <c r="CO44" s="124"/>
      <c r="CP44" s="124"/>
      <c r="CQ44" s="124"/>
      <c r="CR44" s="124"/>
      <c r="CS44" s="124"/>
      <c r="CT44" s="124"/>
      <c r="CU44" s="124"/>
      <c r="CV44" s="124"/>
      <c r="CW44" s="124"/>
      <c r="CX44" s="124"/>
      <c r="CY44" s="124"/>
      <c r="CZ44" s="124"/>
      <c r="DA44" s="124"/>
      <c r="DB44" s="124"/>
      <c r="DC44" s="124"/>
      <c r="DD44" s="124"/>
      <c r="DE44" s="124"/>
      <c r="DF44" s="124"/>
      <c r="DG44" s="124"/>
      <c r="DH44" s="124"/>
      <c r="DI44" s="124"/>
      <c r="DJ44" s="124"/>
      <c r="DK44" s="124"/>
      <c r="DL44" s="124"/>
      <c r="DM44" s="124"/>
      <c r="DN44" s="124"/>
      <c r="DO44" s="124"/>
      <c r="DP44" s="124"/>
      <c r="DQ44" s="124"/>
      <c r="DR44" s="124"/>
      <c r="DS44" s="124"/>
      <c r="DT44" s="124"/>
      <c r="DU44" s="124"/>
      <c r="DV44" s="124"/>
      <c r="DW44" s="124"/>
      <c r="DX44" s="124"/>
      <c r="DY44" s="124"/>
      <c r="DZ44" s="124"/>
      <c r="EA44" s="124"/>
      <c r="EB44" s="124"/>
      <c r="EC44" s="124"/>
      <c r="ED44" s="124"/>
      <c r="EE44" s="124"/>
      <c r="EF44" s="124"/>
      <c r="EG44" s="124"/>
      <c r="EH44" s="124"/>
      <c r="EI44" s="124"/>
      <c r="EJ44" s="124"/>
      <c r="EK44" s="124"/>
      <c r="EL44" s="124"/>
      <c r="EM44" s="124"/>
      <c r="EN44" s="124"/>
      <c r="EO44" s="124"/>
      <c r="EP44" s="124"/>
      <c r="EQ44" s="124"/>
      <c r="ER44" s="124"/>
      <c r="ES44" s="124"/>
      <c r="ET44" s="124"/>
      <c r="EU44" s="124"/>
      <c r="EV44" s="124"/>
      <c r="EW44" s="124"/>
      <c r="EX44" s="124"/>
      <c r="EY44" s="124"/>
      <c r="EZ44" s="124"/>
      <c r="FA44" s="124"/>
      <c r="FB44" s="124"/>
      <c r="FC44" s="124"/>
      <c r="FD44" s="124"/>
      <c r="FE44" s="124"/>
      <c r="FF44" s="124"/>
      <c r="FG44" s="124"/>
      <c r="FH44" s="124"/>
      <c r="FI44" s="124"/>
      <c r="FJ44" s="124"/>
      <c r="FK44" s="124"/>
      <c r="FL44" s="124"/>
      <c r="FM44" s="124"/>
      <c r="FN44" s="124"/>
      <c r="FO44" s="124"/>
      <c r="FP44" s="124"/>
      <c r="FQ44" s="124"/>
      <c r="FR44" s="124"/>
      <c r="FS44" s="124"/>
      <c r="FT44" s="124"/>
      <c r="FU44" s="124"/>
      <c r="FV44" s="124"/>
      <c r="FW44" s="124"/>
      <c r="FX44" s="124"/>
      <c r="FY44" s="124"/>
      <c r="FZ44" s="124"/>
      <c r="GA44" s="124"/>
      <c r="GB44" s="125"/>
      <c r="GC44" s="125"/>
      <c r="GD44" s="125"/>
      <c r="GE44" s="125"/>
      <c r="GF44" s="125"/>
      <c r="GG44" s="125"/>
      <c r="GH44" s="125"/>
      <c r="GI44" s="125"/>
      <c r="GJ44" s="125"/>
      <c r="GK44" s="125"/>
      <c r="GL44" s="125"/>
      <c r="GM44" s="125"/>
      <c r="GN44" s="125"/>
      <c r="GO44" s="125"/>
      <c r="GP44" s="125"/>
      <c r="GQ44" s="125"/>
      <c r="GR44" s="125"/>
      <c r="GS44" s="125"/>
      <c r="GT44" s="125"/>
      <c r="GU44" s="125"/>
      <c r="GV44" s="125"/>
      <c r="GW44" s="125"/>
      <c r="GX44" s="125"/>
      <c r="GY44" s="125"/>
      <c r="GZ44" s="125"/>
      <c r="HA44" s="125"/>
      <c r="HB44" s="125"/>
      <c r="HC44" s="125"/>
    </row>
    <row r="45" spans="1:211" s="138" customFormat="1">
      <c r="A45" s="133">
        <f t="shared" si="19"/>
        <v>40</v>
      </c>
      <c r="B45" s="139" t="str">
        <f t="shared" ref="B45" si="69">MID(RIGHT(H45,8),1,7)</f>
        <v/>
      </c>
      <c r="C45" s="139" t="str">
        <f t="shared" ref="C45" si="70">MID(RIGHT(I45,8),1,7)</f>
        <v/>
      </c>
      <c r="D45" s="139" t="str">
        <f t="shared" ref="D45" si="71">MID(RIGHT(J45,8),1,7)</f>
        <v>導入レクチャー</v>
      </c>
      <c r="E45" s="139" t="str">
        <f t="shared" ref="E45" si="72">MID(RIGHT(K45,8),1,7)</f>
        <v/>
      </c>
      <c r="H45" s="131"/>
      <c r="I45" s="144"/>
      <c r="J45" s="131" t="s">
        <v>159</v>
      </c>
      <c r="K45" s="135"/>
      <c r="L45" s="136"/>
      <c r="M45" s="130"/>
      <c r="N45" s="134"/>
      <c r="O45" s="136"/>
      <c r="P45" s="136"/>
      <c r="Q45" s="136"/>
      <c r="R45" s="136"/>
      <c r="S45" s="137"/>
      <c r="T45" s="146">
        <v>41036</v>
      </c>
      <c r="U45" s="146"/>
      <c r="V45" s="129"/>
      <c r="W45" s="142" t="s">
        <v>154</v>
      </c>
      <c r="X45" s="146"/>
      <c r="Y45" s="146"/>
      <c r="Z45" s="132">
        <f ca="1">IF(SUM(AB45:HC45)=0,"",  SUM(AB45:HC45))</f>
        <v>36</v>
      </c>
      <c r="AA45" s="143"/>
      <c r="AB45" s="140" t="str">
        <f ca="1">IF($T45="","",IF($X45="",IF($T45&lt;TODAY(),"未着手","予定"),IF($Y45="",IF($U45&lt;TODAY(),"遅延","仕掛"),"完了")))</f>
        <v>未着手</v>
      </c>
      <c r="AC45" s="145"/>
      <c r="AD45" s="145"/>
      <c r="AE45" s="145"/>
      <c r="AF45" s="145"/>
      <c r="AG45" s="145"/>
      <c r="AH45" s="145"/>
      <c r="AI45" s="145"/>
      <c r="AJ45" s="145"/>
      <c r="AK45" s="145"/>
      <c r="AL45" s="145"/>
      <c r="AM45" s="145"/>
      <c r="AN45" s="145"/>
      <c r="AO45" s="145"/>
      <c r="AP45" s="145"/>
      <c r="AQ45" s="145"/>
      <c r="AR45" s="145"/>
      <c r="AS45" s="145"/>
      <c r="AT45" s="145"/>
      <c r="AU45" s="145"/>
      <c r="AV45" s="145"/>
      <c r="AW45" s="145"/>
      <c r="AX45" s="145"/>
      <c r="AY45" s="145"/>
      <c r="AZ45" s="145"/>
      <c r="BA45" s="145"/>
      <c r="BB45" s="145"/>
      <c r="BC45" s="145"/>
      <c r="BD45" s="145"/>
      <c r="BE45" s="145"/>
      <c r="BF45" s="145"/>
      <c r="BG45" s="145"/>
      <c r="BH45" s="145"/>
      <c r="BI45" s="145"/>
      <c r="BJ45" s="145">
        <v>7</v>
      </c>
      <c r="BK45" s="145">
        <v>4.5</v>
      </c>
      <c r="BL45" s="145">
        <v>7</v>
      </c>
      <c r="BM45" s="145">
        <v>6</v>
      </c>
      <c r="BN45" s="145">
        <v>6.5</v>
      </c>
      <c r="BO45" s="145"/>
      <c r="BP45" s="145"/>
      <c r="BQ45" s="145">
        <v>3</v>
      </c>
      <c r="BR45" s="145"/>
      <c r="BS45" s="145">
        <v>2</v>
      </c>
      <c r="BT45" s="145"/>
      <c r="BU45" s="145"/>
      <c r="BV45" s="145"/>
      <c r="BW45" s="145"/>
      <c r="BX45" s="145"/>
      <c r="BY45" s="145"/>
      <c r="BZ45" s="145"/>
      <c r="CA45" s="145"/>
      <c r="CB45" s="145"/>
      <c r="CC45" s="145"/>
      <c r="CD45" s="145"/>
      <c r="CE45" s="145"/>
      <c r="CF45" s="145"/>
      <c r="CG45" s="145"/>
      <c r="CH45" s="145"/>
      <c r="CI45" s="145"/>
      <c r="CJ45" s="145"/>
      <c r="CK45" s="145"/>
      <c r="CL45" s="145"/>
      <c r="CM45" s="145"/>
      <c r="CN45" s="145"/>
      <c r="CO45" s="145"/>
      <c r="CP45" s="145"/>
      <c r="CQ45" s="145"/>
      <c r="CR45" s="145"/>
      <c r="CS45" s="145"/>
      <c r="CT45" s="145"/>
      <c r="CU45" s="145"/>
      <c r="CV45" s="145"/>
      <c r="CW45" s="145"/>
      <c r="CX45" s="145"/>
      <c r="CY45" s="145"/>
      <c r="CZ45" s="145"/>
      <c r="DA45" s="145"/>
      <c r="DB45" s="145"/>
      <c r="DC45" s="145"/>
      <c r="DD45" s="145"/>
      <c r="DE45" s="145"/>
      <c r="DF45" s="145"/>
      <c r="DG45" s="145"/>
      <c r="DH45" s="145"/>
      <c r="DI45" s="145"/>
      <c r="DJ45" s="145"/>
      <c r="DK45" s="145"/>
      <c r="DL45" s="145"/>
      <c r="DM45" s="145"/>
      <c r="DN45" s="145"/>
      <c r="DO45" s="145"/>
      <c r="DP45" s="145"/>
      <c r="DQ45" s="145"/>
      <c r="DR45" s="145"/>
      <c r="DS45" s="145"/>
      <c r="DT45" s="145"/>
      <c r="DU45" s="145"/>
      <c r="DV45" s="145"/>
      <c r="DW45" s="145"/>
      <c r="DX45" s="145"/>
      <c r="DY45" s="145"/>
      <c r="DZ45" s="145"/>
      <c r="EA45" s="145"/>
      <c r="EB45" s="145"/>
      <c r="EC45" s="145"/>
      <c r="ED45" s="145"/>
      <c r="EE45" s="145"/>
      <c r="EF45" s="145"/>
      <c r="EG45" s="145"/>
      <c r="EH45" s="145"/>
      <c r="EI45" s="145"/>
      <c r="EJ45" s="145"/>
      <c r="EK45" s="145"/>
      <c r="EL45" s="145"/>
      <c r="EM45" s="145"/>
      <c r="EN45" s="145"/>
      <c r="EO45" s="145"/>
      <c r="EP45" s="145"/>
      <c r="EQ45" s="145"/>
      <c r="ER45" s="145"/>
      <c r="ES45" s="145"/>
      <c r="ET45" s="145"/>
      <c r="EU45" s="145"/>
      <c r="EV45" s="145"/>
      <c r="EW45" s="145"/>
      <c r="EX45" s="145"/>
      <c r="EY45" s="145"/>
      <c r="EZ45" s="145"/>
      <c r="FA45" s="145"/>
      <c r="FB45" s="145"/>
      <c r="FC45" s="145"/>
      <c r="FD45" s="145"/>
      <c r="FE45" s="145"/>
      <c r="FF45" s="145"/>
      <c r="FG45" s="145"/>
      <c r="FH45" s="145"/>
      <c r="FI45" s="145"/>
      <c r="FJ45" s="145"/>
      <c r="FK45" s="145"/>
      <c r="FL45" s="145"/>
      <c r="FM45" s="145"/>
      <c r="FN45" s="145"/>
      <c r="FO45" s="145"/>
      <c r="FP45" s="145"/>
      <c r="FQ45" s="145"/>
      <c r="FR45" s="145"/>
      <c r="FS45" s="145"/>
      <c r="FT45" s="145"/>
      <c r="FU45" s="145"/>
      <c r="FV45" s="145"/>
      <c r="FW45" s="145"/>
      <c r="FX45" s="145"/>
      <c r="FY45" s="145"/>
      <c r="FZ45" s="145"/>
      <c r="GA45" s="145"/>
      <c r="GB45" s="141"/>
      <c r="GC45" s="141"/>
      <c r="GD45" s="141"/>
      <c r="GE45" s="141"/>
      <c r="GF45" s="141"/>
      <c r="GG45" s="141"/>
      <c r="GH45" s="141"/>
      <c r="GI45" s="141"/>
      <c r="GJ45" s="141"/>
      <c r="GK45" s="141"/>
      <c r="GL45" s="141"/>
      <c r="GM45" s="141"/>
      <c r="GN45" s="141"/>
      <c r="GO45" s="141"/>
      <c r="GP45" s="141"/>
      <c r="GQ45" s="141"/>
      <c r="GR45" s="141"/>
      <c r="GS45" s="141"/>
      <c r="GT45" s="141"/>
      <c r="GU45" s="141"/>
      <c r="GV45" s="141"/>
      <c r="GW45" s="141"/>
      <c r="GX45" s="141"/>
      <c r="GY45" s="141"/>
      <c r="GZ45" s="141"/>
      <c r="HA45" s="141"/>
      <c r="HB45" s="141"/>
      <c r="HC45" s="141"/>
    </row>
    <row r="46" spans="1:211" s="138" customFormat="1">
      <c r="A46" s="133">
        <f t="shared" si="19"/>
        <v>41</v>
      </c>
      <c r="B46" s="139" t="str">
        <f t="shared" ref="B46" si="73">MID(RIGHT(H46,8),1,7)</f>
        <v/>
      </c>
      <c r="C46" s="139" t="str">
        <f t="shared" ref="C46" si="74">MID(RIGHT(I46,8),1,7)</f>
        <v/>
      </c>
      <c r="D46" s="139" t="str">
        <f t="shared" ref="D46" si="75">MID(RIGHT(J46,8),1,7)</f>
        <v>導入レクチャー</v>
      </c>
      <c r="E46" s="139" t="str">
        <f t="shared" ref="E46" si="76">MID(RIGHT(K46,8),1,7)</f>
        <v/>
      </c>
      <c r="H46" s="131"/>
      <c r="I46" s="144"/>
      <c r="J46" s="131" t="s">
        <v>159</v>
      </c>
      <c r="K46" s="135"/>
      <c r="L46" s="136"/>
      <c r="M46" s="130"/>
      <c r="N46" s="134"/>
      <c r="O46" s="136"/>
      <c r="P46" s="136"/>
      <c r="Q46" s="136"/>
      <c r="R46" s="136"/>
      <c r="S46" s="137"/>
      <c r="T46" s="146"/>
      <c r="U46" s="146"/>
      <c r="V46" s="129"/>
      <c r="W46" s="142" t="s">
        <v>172</v>
      </c>
      <c r="X46" s="146"/>
      <c r="Y46" s="146"/>
      <c r="Z46" s="132">
        <f ca="1">IF(SUM(AB46:HC46)=0,"",  SUM(AB46:HC46))</f>
        <v>0.5</v>
      </c>
      <c r="AA46" s="143"/>
      <c r="AB46" s="140" t="str">
        <f ca="1">IF($T46="","",IF($X46="",IF($T46&lt;TODAY(),"未着手","予定"),IF($Y46="",IF($U46&lt;TODAY(),"遅延","仕掛"),"完了")))</f>
        <v/>
      </c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5"/>
      <c r="AV46" s="145"/>
      <c r="AW46" s="145"/>
      <c r="AX46" s="145"/>
      <c r="AY46" s="145"/>
      <c r="AZ46" s="145"/>
      <c r="BA46" s="145"/>
      <c r="BB46" s="145"/>
      <c r="BC46" s="145"/>
      <c r="BD46" s="145"/>
      <c r="BE46" s="145"/>
      <c r="BF46" s="145">
        <v>0.5</v>
      </c>
      <c r="BG46" s="145"/>
      <c r="BH46" s="145"/>
      <c r="BI46" s="145"/>
      <c r="BJ46" s="145"/>
      <c r="BK46" s="145"/>
      <c r="BL46" s="145"/>
      <c r="BM46" s="145"/>
      <c r="BN46" s="145"/>
      <c r="BO46" s="145"/>
      <c r="BP46" s="145"/>
      <c r="BQ46" s="145"/>
      <c r="BR46" s="145"/>
      <c r="BS46" s="145"/>
      <c r="BT46" s="145"/>
      <c r="BU46" s="145"/>
      <c r="BV46" s="145"/>
      <c r="BW46" s="145"/>
      <c r="BX46" s="145"/>
      <c r="BY46" s="145"/>
      <c r="BZ46" s="145"/>
      <c r="CA46" s="145"/>
      <c r="CB46" s="145"/>
      <c r="CC46" s="145"/>
      <c r="CD46" s="145"/>
      <c r="CE46" s="145"/>
      <c r="CF46" s="145"/>
      <c r="CG46" s="145"/>
      <c r="CH46" s="145"/>
      <c r="CI46" s="145"/>
      <c r="CJ46" s="145"/>
      <c r="CK46" s="145"/>
      <c r="CL46" s="145"/>
      <c r="CM46" s="145"/>
      <c r="CN46" s="145"/>
      <c r="CO46" s="145"/>
      <c r="CP46" s="145"/>
      <c r="CQ46" s="145"/>
      <c r="CR46" s="145"/>
      <c r="CS46" s="145"/>
      <c r="CT46" s="145"/>
      <c r="CU46" s="145"/>
      <c r="CV46" s="145"/>
      <c r="CW46" s="145"/>
      <c r="CX46" s="145"/>
      <c r="CY46" s="145"/>
      <c r="CZ46" s="145"/>
      <c r="DA46" s="145"/>
      <c r="DB46" s="145"/>
      <c r="DC46" s="145"/>
      <c r="DD46" s="145"/>
      <c r="DE46" s="145"/>
      <c r="DF46" s="145"/>
      <c r="DG46" s="145"/>
      <c r="DH46" s="145"/>
      <c r="DI46" s="145"/>
      <c r="DJ46" s="145"/>
      <c r="DK46" s="145"/>
      <c r="DL46" s="145"/>
      <c r="DM46" s="145"/>
      <c r="DN46" s="145"/>
      <c r="DO46" s="145"/>
      <c r="DP46" s="145"/>
      <c r="DQ46" s="145"/>
      <c r="DR46" s="145"/>
      <c r="DS46" s="145"/>
      <c r="DT46" s="145"/>
      <c r="DU46" s="145"/>
      <c r="DV46" s="145"/>
      <c r="DW46" s="145"/>
      <c r="DX46" s="145"/>
      <c r="DY46" s="145"/>
      <c r="DZ46" s="145"/>
      <c r="EA46" s="145"/>
      <c r="EB46" s="145"/>
      <c r="EC46" s="145"/>
      <c r="ED46" s="145"/>
      <c r="EE46" s="145"/>
      <c r="EF46" s="145"/>
      <c r="EG46" s="145"/>
      <c r="EH46" s="145"/>
      <c r="EI46" s="145"/>
      <c r="EJ46" s="145"/>
      <c r="EK46" s="145"/>
      <c r="EL46" s="145"/>
      <c r="EM46" s="145"/>
      <c r="EN46" s="145"/>
      <c r="EO46" s="145"/>
      <c r="EP46" s="145"/>
      <c r="EQ46" s="145"/>
      <c r="ER46" s="145"/>
      <c r="ES46" s="145"/>
      <c r="ET46" s="145"/>
      <c r="EU46" s="145"/>
      <c r="EV46" s="145"/>
      <c r="EW46" s="145"/>
      <c r="EX46" s="145"/>
      <c r="EY46" s="145"/>
      <c r="EZ46" s="145"/>
      <c r="FA46" s="145"/>
      <c r="FB46" s="145"/>
      <c r="FC46" s="145"/>
      <c r="FD46" s="145"/>
      <c r="FE46" s="145"/>
      <c r="FF46" s="145"/>
      <c r="FG46" s="145"/>
      <c r="FH46" s="145"/>
      <c r="FI46" s="145"/>
      <c r="FJ46" s="145"/>
      <c r="FK46" s="145"/>
      <c r="FL46" s="145"/>
      <c r="FM46" s="145"/>
      <c r="FN46" s="145"/>
      <c r="FO46" s="145"/>
      <c r="FP46" s="145"/>
      <c r="FQ46" s="145"/>
      <c r="FR46" s="145"/>
      <c r="FS46" s="145"/>
      <c r="FT46" s="145"/>
      <c r="FU46" s="145"/>
      <c r="FV46" s="145"/>
      <c r="FW46" s="145"/>
      <c r="FX46" s="145"/>
      <c r="FY46" s="145"/>
      <c r="FZ46" s="145"/>
      <c r="GA46" s="145"/>
      <c r="GB46" s="141"/>
      <c r="GC46" s="141"/>
      <c r="GD46" s="141"/>
      <c r="GE46" s="141"/>
      <c r="GF46" s="141"/>
      <c r="GG46" s="141"/>
      <c r="GH46" s="141"/>
      <c r="GI46" s="141"/>
      <c r="GJ46" s="141"/>
      <c r="GK46" s="141"/>
      <c r="GL46" s="141"/>
      <c r="GM46" s="141"/>
      <c r="GN46" s="141"/>
      <c r="GO46" s="141"/>
      <c r="GP46" s="141"/>
      <c r="GQ46" s="141"/>
      <c r="GR46" s="141"/>
      <c r="GS46" s="141"/>
      <c r="GT46" s="141"/>
      <c r="GU46" s="141"/>
      <c r="GV46" s="141"/>
      <c r="GW46" s="141"/>
      <c r="GX46" s="141"/>
      <c r="GY46" s="141"/>
      <c r="GZ46" s="141"/>
      <c r="HA46" s="141"/>
      <c r="HB46" s="141"/>
      <c r="HC46" s="141"/>
    </row>
    <row r="47" spans="1:211" s="138" customFormat="1">
      <c r="A47" s="133">
        <f t="shared" si="19"/>
        <v>42</v>
      </c>
      <c r="B47" s="139" t="str">
        <f t="shared" ref="B47" si="77">MID(RIGHT(H47,8),1,7)</f>
        <v/>
      </c>
      <c r="C47" s="139" t="str">
        <f t="shared" ref="C47" si="78">MID(RIGHT(I47,8),1,7)</f>
        <v/>
      </c>
      <c r="D47" s="139" t="str">
        <f t="shared" ref="D47" si="79">MID(RIGHT(J47,8),1,7)</f>
        <v>導入レクチャー</v>
      </c>
      <c r="E47" s="139" t="str">
        <f t="shared" ref="E47" si="80">MID(RIGHT(K47,8),1,7)</f>
        <v/>
      </c>
      <c r="H47" s="131"/>
      <c r="I47" s="144"/>
      <c r="J47" s="131" t="s">
        <v>159</v>
      </c>
      <c r="K47" s="135"/>
      <c r="L47" s="136"/>
      <c r="M47" s="130"/>
      <c r="N47" s="134"/>
      <c r="O47" s="136"/>
      <c r="P47" s="136"/>
      <c r="Q47" s="136"/>
      <c r="R47" s="136"/>
      <c r="S47" s="137"/>
      <c r="T47" s="146"/>
      <c r="U47" s="146"/>
      <c r="V47" s="129"/>
      <c r="W47" s="142" t="s">
        <v>171</v>
      </c>
      <c r="X47" s="146"/>
      <c r="Y47" s="146"/>
      <c r="Z47" s="132" t="str">
        <f ca="1">IF(SUM(AB47:HC47)=0,"",  SUM(AB47:HC47))</f>
        <v/>
      </c>
      <c r="AA47" s="143"/>
      <c r="AB47" s="140" t="str">
        <f ca="1">IF($T47="","",IF($X47="",IF($T47&lt;TODAY(),"未着手","予定"),IF($Y47="",IF($U47&lt;TODAY(),"遅延","仕掛"),"完了")))</f>
        <v/>
      </c>
      <c r="AC47" s="145"/>
      <c r="AD47" s="145"/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45"/>
      <c r="BJ47" s="145"/>
      <c r="BK47" s="145"/>
      <c r="BL47" s="145"/>
      <c r="BM47" s="145"/>
      <c r="BN47" s="145"/>
      <c r="BO47" s="145"/>
      <c r="BP47" s="145"/>
      <c r="BQ47" s="145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  <c r="CK47" s="145"/>
      <c r="CL47" s="145"/>
      <c r="CM47" s="145"/>
      <c r="CN47" s="145"/>
      <c r="CO47" s="145"/>
      <c r="CP47" s="145"/>
      <c r="CQ47" s="145"/>
      <c r="CR47" s="145"/>
      <c r="CS47" s="145"/>
      <c r="CT47" s="145"/>
      <c r="CU47" s="145"/>
      <c r="CV47" s="145"/>
      <c r="CW47" s="145"/>
      <c r="CX47" s="145"/>
      <c r="CY47" s="145"/>
      <c r="CZ47" s="145"/>
      <c r="DA47" s="145"/>
      <c r="DB47" s="145"/>
      <c r="DC47" s="145"/>
      <c r="DD47" s="145"/>
      <c r="DE47" s="145"/>
      <c r="DF47" s="145"/>
      <c r="DG47" s="145"/>
      <c r="DH47" s="145"/>
      <c r="DI47" s="145"/>
      <c r="DJ47" s="145"/>
      <c r="DK47" s="145"/>
      <c r="DL47" s="145"/>
      <c r="DM47" s="145"/>
      <c r="DN47" s="145"/>
      <c r="DO47" s="145"/>
      <c r="DP47" s="145"/>
      <c r="DQ47" s="145"/>
      <c r="DR47" s="145"/>
      <c r="DS47" s="145"/>
      <c r="DT47" s="145"/>
      <c r="DU47" s="145"/>
      <c r="DV47" s="145"/>
      <c r="DW47" s="145"/>
      <c r="DX47" s="145"/>
      <c r="DY47" s="145"/>
      <c r="DZ47" s="145"/>
      <c r="EA47" s="145"/>
      <c r="EB47" s="145"/>
      <c r="EC47" s="145"/>
      <c r="ED47" s="145"/>
      <c r="EE47" s="145"/>
      <c r="EF47" s="145"/>
      <c r="EG47" s="145"/>
      <c r="EH47" s="145"/>
      <c r="EI47" s="145"/>
      <c r="EJ47" s="145"/>
      <c r="EK47" s="145"/>
      <c r="EL47" s="145"/>
      <c r="EM47" s="145"/>
      <c r="EN47" s="145"/>
      <c r="EO47" s="145"/>
      <c r="EP47" s="145"/>
      <c r="EQ47" s="145"/>
      <c r="ER47" s="145"/>
      <c r="ES47" s="145"/>
      <c r="ET47" s="145"/>
      <c r="EU47" s="145"/>
      <c r="EV47" s="145"/>
      <c r="EW47" s="145"/>
      <c r="EX47" s="145"/>
      <c r="EY47" s="145"/>
      <c r="EZ47" s="145"/>
      <c r="FA47" s="145"/>
      <c r="FB47" s="145"/>
      <c r="FC47" s="145"/>
      <c r="FD47" s="145"/>
      <c r="FE47" s="145"/>
      <c r="FF47" s="145"/>
      <c r="FG47" s="145"/>
      <c r="FH47" s="145"/>
      <c r="FI47" s="145"/>
      <c r="FJ47" s="145"/>
      <c r="FK47" s="145"/>
      <c r="FL47" s="145"/>
      <c r="FM47" s="145"/>
      <c r="FN47" s="145"/>
      <c r="FO47" s="145"/>
      <c r="FP47" s="145"/>
      <c r="FQ47" s="145"/>
      <c r="FR47" s="145"/>
      <c r="FS47" s="145"/>
      <c r="FT47" s="145"/>
      <c r="FU47" s="145"/>
      <c r="FV47" s="145"/>
      <c r="FW47" s="145"/>
      <c r="FX47" s="145"/>
      <c r="FY47" s="145"/>
      <c r="FZ47" s="145"/>
      <c r="GA47" s="145"/>
      <c r="GB47" s="141"/>
      <c r="GC47" s="141"/>
      <c r="GD47" s="141"/>
      <c r="GE47" s="141"/>
      <c r="GF47" s="141"/>
      <c r="GG47" s="141"/>
      <c r="GH47" s="141"/>
      <c r="GI47" s="141"/>
      <c r="GJ47" s="141"/>
      <c r="GK47" s="141"/>
      <c r="GL47" s="141"/>
      <c r="GM47" s="141"/>
      <c r="GN47" s="141"/>
      <c r="GO47" s="141"/>
      <c r="GP47" s="141"/>
      <c r="GQ47" s="141"/>
      <c r="GR47" s="141"/>
      <c r="GS47" s="141"/>
      <c r="GT47" s="141"/>
      <c r="GU47" s="141"/>
      <c r="GV47" s="141"/>
      <c r="GW47" s="141"/>
      <c r="GX47" s="141"/>
      <c r="GY47" s="141"/>
      <c r="GZ47" s="141"/>
      <c r="HA47" s="141"/>
      <c r="HB47" s="141"/>
      <c r="HC47" s="141"/>
    </row>
    <row r="48" spans="1:211" s="91" customFormat="1">
      <c r="A48" s="90">
        <f>ROW()-5</f>
        <v>43</v>
      </c>
      <c r="B48" s="91" t="str">
        <f t="shared" ref="B48" si="81">MID(RIGHT(G48,8),1,7)</f>
        <v/>
      </c>
      <c r="C48" s="91" t="str">
        <f t="shared" ref="C48" si="82">MID(RIGHT(H48,8),1,7)</f>
        <v>取り組み</v>
      </c>
      <c r="D48" s="91" t="str">
        <f t="shared" ref="D48" si="83">MID(RIGHT(I48,8),1,7)</f>
        <v/>
      </c>
      <c r="F48" s="91" t="str">
        <f>MID(RIGHT(K48,8),1,7)</f>
        <v/>
      </c>
      <c r="H48" s="92" t="s">
        <v>96</v>
      </c>
      <c r="I48" s="93"/>
      <c r="J48" s="92"/>
      <c r="K48" s="94"/>
      <c r="L48" s="95"/>
      <c r="M48" s="96"/>
      <c r="N48" s="97"/>
      <c r="O48" s="95"/>
      <c r="P48" s="95"/>
      <c r="Q48" s="95"/>
      <c r="R48" s="95"/>
      <c r="S48" s="98"/>
      <c r="T48" s="99"/>
      <c r="U48" s="100"/>
      <c r="V48" s="101"/>
      <c r="W48" s="108"/>
      <c r="X48" s="102"/>
      <c r="Y48" s="102"/>
      <c r="Z48" s="103" t="s">
        <v>70</v>
      </c>
      <c r="AA48" s="104"/>
      <c r="AB48" s="105" t="str">
        <f ca="1">IF($T48="","",IF($X48="",IF($T48&lt;TODAY(),"未着手","予定"),IF($Y48="",IF($U48&lt;TODAY(),"遅延","仕掛"),"完了")))</f>
        <v/>
      </c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6"/>
      <c r="AP48" s="106"/>
      <c r="AQ48" s="106"/>
      <c r="AR48" s="106"/>
      <c r="AS48" s="106"/>
      <c r="AT48" s="106"/>
      <c r="AU48" s="106"/>
      <c r="AV48" s="106"/>
      <c r="AW48" s="106"/>
      <c r="AX48" s="106"/>
      <c r="AY48" s="106"/>
      <c r="AZ48" s="106"/>
      <c r="BA48" s="106"/>
      <c r="BB48" s="106"/>
      <c r="BC48" s="106"/>
      <c r="BD48" s="106"/>
      <c r="BE48" s="106"/>
      <c r="BF48" s="106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6"/>
      <c r="CF48" s="106"/>
      <c r="CG48" s="106"/>
      <c r="CH48" s="106"/>
      <c r="CI48" s="106"/>
      <c r="CJ48" s="106"/>
      <c r="CK48" s="106"/>
      <c r="CL48" s="106"/>
      <c r="CM48" s="106"/>
      <c r="CN48" s="106"/>
      <c r="CO48" s="106"/>
      <c r="CP48" s="106"/>
      <c r="CQ48" s="106"/>
      <c r="CR48" s="106"/>
      <c r="CS48" s="106"/>
      <c r="CT48" s="106"/>
      <c r="CU48" s="106"/>
      <c r="CV48" s="106"/>
      <c r="CW48" s="106"/>
      <c r="CX48" s="106"/>
      <c r="CY48" s="106"/>
      <c r="CZ48" s="106"/>
      <c r="DA48" s="106"/>
      <c r="DB48" s="106"/>
      <c r="DC48" s="106"/>
      <c r="DD48" s="106"/>
      <c r="DE48" s="106"/>
      <c r="DF48" s="106"/>
      <c r="DG48" s="106"/>
      <c r="DH48" s="106"/>
      <c r="DI48" s="106"/>
      <c r="DJ48" s="106"/>
      <c r="DK48" s="106"/>
      <c r="DL48" s="106"/>
      <c r="DM48" s="106"/>
      <c r="DN48" s="106"/>
      <c r="DO48" s="106"/>
      <c r="DP48" s="106"/>
      <c r="DQ48" s="106"/>
      <c r="DR48" s="106"/>
      <c r="DS48" s="106"/>
      <c r="DT48" s="106"/>
      <c r="DU48" s="106"/>
      <c r="DV48" s="106"/>
      <c r="DW48" s="106"/>
      <c r="DX48" s="106"/>
      <c r="DY48" s="106"/>
      <c r="DZ48" s="106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106"/>
      <c r="FC48" s="106"/>
      <c r="FD48" s="106"/>
      <c r="FE48" s="106"/>
      <c r="FF48" s="106"/>
      <c r="FG48" s="106"/>
      <c r="FH48" s="106"/>
      <c r="FI48" s="106"/>
      <c r="FJ48" s="106"/>
      <c r="FK48" s="106"/>
      <c r="FL48" s="106"/>
      <c r="FM48" s="106"/>
      <c r="FN48" s="106"/>
      <c r="FO48" s="106"/>
      <c r="FP48" s="106"/>
      <c r="FQ48" s="106"/>
      <c r="FR48" s="106"/>
      <c r="FS48" s="106"/>
      <c r="FT48" s="106"/>
      <c r="FU48" s="106"/>
      <c r="FV48" s="106"/>
      <c r="FW48" s="106"/>
      <c r="FX48" s="106"/>
      <c r="FY48" s="106"/>
      <c r="FZ48" s="106"/>
      <c r="GA48" s="106"/>
      <c r="GB48" s="107"/>
      <c r="GC48" s="107"/>
      <c r="GD48" s="107"/>
      <c r="GE48" s="107"/>
      <c r="GF48" s="107"/>
      <c r="GG48" s="107"/>
      <c r="GH48" s="107"/>
      <c r="GI48" s="107"/>
      <c r="GJ48" s="107"/>
      <c r="GK48" s="107"/>
      <c r="GL48" s="107"/>
      <c r="GM48" s="107"/>
      <c r="GN48" s="107"/>
      <c r="GO48" s="107"/>
      <c r="GP48" s="107"/>
      <c r="GQ48" s="107"/>
      <c r="GR48" s="107"/>
      <c r="GS48" s="107"/>
      <c r="GT48" s="107"/>
      <c r="GU48" s="107"/>
      <c r="GV48" s="107"/>
      <c r="GW48" s="107"/>
      <c r="GX48" s="107"/>
      <c r="GY48" s="107"/>
      <c r="GZ48" s="107"/>
      <c r="HA48" s="107"/>
      <c r="HB48" s="107"/>
      <c r="HC48" s="107"/>
    </row>
    <row r="49" spans="1:211" s="111" customFormat="1">
      <c r="A49" s="109">
        <f t="shared" si="19"/>
        <v>44</v>
      </c>
      <c r="B49" s="110" t="str">
        <f>MID(RIGHT(G49,8),1,7)</f>
        <v/>
      </c>
      <c r="C49" s="110" t="str">
        <f>MID(RIGHT(H49,8),1,7)</f>
        <v/>
      </c>
      <c r="D49" s="110" t="str">
        <f>MID(RIGHT(I49,8),1,7)</f>
        <v>開発改善</v>
      </c>
      <c r="E49" s="110" t="str">
        <f>MID(RIGHT(J49,8),1,7)</f>
        <v/>
      </c>
      <c r="H49" s="112"/>
      <c r="I49" s="127" t="s">
        <v>97</v>
      </c>
      <c r="J49" s="113"/>
      <c r="K49" s="114"/>
      <c r="L49" s="115"/>
      <c r="M49" s="116"/>
      <c r="N49" s="117"/>
      <c r="O49" s="115"/>
      <c r="P49" s="115"/>
      <c r="Q49" s="115"/>
      <c r="R49" s="115"/>
      <c r="S49" s="118"/>
      <c r="T49" s="119"/>
      <c r="U49" s="119"/>
      <c r="V49" s="120"/>
      <c r="W49" s="121"/>
      <c r="X49" s="119"/>
      <c r="Y49" s="119"/>
      <c r="Z49" s="122">
        <f ca="1">SUM(Z50:Z59)</f>
        <v>99.75</v>
      </c>
      <c r="AA49" s="128"/>
      <c r="AB49" s="123"/>
      <c r="AC49" s="124"/>
      <c r="AD49" s="124"/>
      <c r="AE49" s="124"/>
      <c r="AF49" s="124"/>
      <c r="AG49" s="124"/>
      <c r="AH49" s="125"/>
      <c r="AI49" s="125"/>
      <c r="AJ49" s="125"/>
      <c r="AK49" s="125"/>
      <c r="AL49" s="124"/>
      <c r="AM49" s="124"/>
      <c r="AN49" s="125"/>
      <c r="AO49" s="125"/>
      <c r="AP49" s="125"/>
      <c r="AQ49" s="125"/>
      <c r="AR49" s="124"/>
      <c r="AS49" s="124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4"/>
      <c r="BE49" s="124"/>
      <c r="BF49" s="124"/>
      <c r="BG49" s="124"/>
      <c r="BH49" s="124"/>
      <c r="BI49" s="124"/>
      <c r="BJ49" s="124"/>
      <c r="BK49" s="124"/>
      <c r="BL49" s="124"/>
      <c r="BM49" s="124"/>
      <c r="BN49" s="124"/>
      <c r="BO49" s="124"/>
      <c r="BP49" s="124"/>
      <c r="BQ49" s="124"/>
      <c r="BR49" s="124"/>
      <c r="BS49" s="124"/>
      <c r="BT49" s="124"/>
      <c r="BU49" s="124"/>
      <c r="BV49" s="124"/>
      <c r="BW49" s="124"/>
      <c r="BX49" s="124"/>
      <c r="BY49" s="124"/>
      <c r="BZ49" s="124"/>
      <c r="CA49" s="124"/>
      <c r="CB49" s="124"/>
      <c r="CC49" s="124"/>
      <c r="CD49" s="124"/>
      <c r="CE49" s="124"/>
      <c r="CF49" s="124"/>
      <c r="CG49" s="124"/>
      <c r="CH49" s="124"/>
      <c r="CI49" s="124"/>
      <c r="CJ49" s="124"/>
      <c r="CK49" s="124"/>
      <c r="CL49" s="124"/>
      <c r="CM49" s="124"/>
      <c r="CN49" s="124"/>
      <c r="CO49" s="124"/>
      <c r="CP49" s="124"/>
      <c r="CQ49" s="124"/>
      <c r="CR49" s="124"/>
      <c r="CS49" s="124"/>
      <c r="CT49" s="124"/>
      <c r="CU49" s="124"/>
      <c r="CV49" s="124"/>
      <c r="CW49" s="124"/>
      <c r="CX49" s="124"/>
      <c r="CY49" s="124"/>
      <c r="CZ49" s="124"/>
      <c r="DA49" s="124"/>
      <c r="DB49" s="124"/>
      <c r="DC49" s="124"/>
      <c r="DD49" s="124"/>
      <c r="DE49" s="124"/>
      <c r="DF49" s="124"/>
      <c r="DG49" s="124"/>
      <c r="DH49" s="124"/>
      <c r="DI49" s="124"/>
      <c r="DJ49" s="124"/>
      <c r="DK49" s="124"/>
      <c r="DL49" s="124"/>
      <c r="DM49" s="124"/>
      <c r="DN49" s="124"/>
      <c r="DO49" s="124"/>
      <c r="DP49" s="124"/>
      <c r="DQ49" s="124"/>
      <c r="DR49" s="124"/>
      <c r="DS49" s="124"/>
      <c r="DT49" s="124"/>
      <c r="DU49" s="124"/>
      <c r="DV49" s="124"/>
      <c r="DW49" s="124"/>
      <c r="DX49" s="124"/>
      <c r="DY49" s="124"/>
      <c r="DZ49" s="124"/>
      <c r="EA49" s="124"/>
      <c r="EB49" s="124"/>
      <c r="EC49" s="124"/>
      <c r="ED49" s="124"/>
      <c r="EE49" s="124"/>
      <c r="EF49" s="124"/>
      <c r="EG49" s="124"/>
      <c r="EH49" s="124"/>
      <c r="EI49" s="124"/>
      <c r="EJ49" s="124"/>
      <c r="EK49" s="124"/>
      <c r="EL49" s="124"/>
      <c r="EM49" s="124"/>
      <c r="EN49" s="124"/>
      <c r="EO49" s="124"/>
      <c r="EP49" s="124"/>
      <c r="EQ49" s="124"/>
      <c r="ER49" s="124"/>
      <c r="ES49" s="124"/>
      <c r="ET49" s="124"/>
      <c r="EU49" s="124"/>
      <c r="EV49" s="124"/>
      <c r="EW49" s="124"/>
      <c r="EX49" s="124"/>
      <c r="EY49" s="124"/>
      <c r="EZ49" s="124"/>
      <c r="FA49" s="124"/>
      <c r="FB49" s="124"/>
      <c r="FC49" s="124"/>
      <c r="FD49" s="124"/>
      <c r="FE49" s="124"/>
      <c r="FF49" s="124"/>
      <c r="FG49" s="124"/>
      <c r="FH49" s="124"/>
      <c r="FI49" s="124"/>
      <c r="FJ49" s="124"/>
      <c r="FK49" s="124"/>
      <c r="FL49" s="124"/>
      <c r="FM49" s="124"/>
      <c r="FN49" s="124"/>
      <c r="FO49" s="124"/>
      <c r="FP49" s="124"/>
      <c r="FQ49" s="124"/>
      <c r="FR49" s="124"/>
      <c r="FS49" s="124"/>
      <c r="FT49" s="124"/>
      <c r="FU49" s="124"/>
      <c r="FV49" s="124"/>
      <c r="FW49" s="124"/>
      <c r="FX49" s="124"/>
      <c r="FY49" s="124"/>
      <c r="FZ49" s="124"/>
      <c r="GA49" s="124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</row>
    <row r="50" spans="1:211" s="138" customFormat="1">
      <c r="A50" s="133">
        <f t="shared" si="19"/>
        <v>45</v>
      </c>
      <c r="B50" s="139" t="str">
        <f t="shared" ref="B50:E59" si="84">MID(RIGHT(H50,8),1,7)</f>
        <v/>
      </c>
      <c r="C50" s="139" t="str">
        <f t="shared" si="84"/>
        <v/>
      </c>
      <c r="D50" s="139" t="str">
        <f t="shared" si="84"/>
        <v>ット・無名対応</v>
      </c>
      <c r="E50" s="139" t="str">
        <f t="shared" si="84"/>
        <v/>
      </c>
      <c r="H50" s="131"/>
      <c r="I50" s="144"/>
      <c r="J50" s="131" t="s">
        <v>98</v>
      </c>
      <c r="K50" s="135"/>
      <c r="L50" s="136"/>
      <c r="M50" s="130"/>
      <c r="N50" s="134"/>
      <c r="O50" s="136"/>
      <c r="P50" s="136"/>
      <c r="Q50" s="136"/>
      <c r="R50" s="136"/>
      <c r="S50" s="137"/>
      <c r="T50" s="146">
        <v>41000</v>
      </c>
      <c r="U50" s="146"/>
      <c r="V50" s="129"/>
      <c r="W50" s="142" t="s">
        <v>77</v>
      </c>
      <c r="X50" s="146"/>
      <c r="Y50" s="146"/>
      <c r="Z50" s="132">
        <f t="shared" ref="Z50:Z59" ca="1" si="85">IF(SUM(AB50:HC50)=0,"",  SUM(AB50:HC50))</f>
        <v>4.25</v>
      </c>
      <c r="AA50" s="143"/>
      <c r="AB50" s="140" t="str">
        <f t="shared" ref="AB50:AB59" ca="1" si="86">IF($T50="","",IF($X50="",IF($T50&lt;TODAY(),"未着手","予定"),IF($Y50="",IF($U50&lt;TODAY(),"遅延","仕掛"),"完了")))</f>
        <v>未着手</v>
      </c>
      <c r="AC50" s="145">
        <v>4.25</v>
      </c>
      <c r="AD50" s="145"/>
      <c r="AE50" s="145"/>
      <c r="AF50" s="145"/>
      <c r="AG50" s="145"/>
      <c r="AH50" s="145"/>
      <c r="AI50" s="145"/>
      <c r="AJ50" s="145"/>
      <c r="AK50" s="145"/>
      <c r="AL50" s="145"/>
      <c r="AM50" s="145"/>
      <c r="AN50" s="145"/>
      <c r="AO50" s="145"/>
      <c r="AP50" s="145"/>
      <c r="AQ50" s="145"/>
      <c r="AR50" s="145"/>
      <c r="AS50" s="145"/>
      <c r="AT50" s="145"/>
      <c r="AU50" s="145"/>
      <c r="AV50" s="145"/>
      <c r="AW50" s="145"/>
      <c r="AX50" s="145"/>
      <c r="AY50" s="145"/>
      <c r="AZ50" s="145"/>
      <c r="BA50" s="145"/>
      <c r="BB50" s="145"/>
      <c r="BC50" s="145"/>
      <c r="BD50" s="145"/>
      <c r="BE50" s="145"/>
      <c r="BF50" s="145"/>
      <c r="BG50" s="145"/>
      <c r="BH50" s="145"/>
      <c r="BI50" s="145"/>
      <c r="BJ50" s="145"/>
      <c r="BK50" s="145"/>
      <c r="BL50" s="145"/>
      <c r="BM50" s="145"/>
      <c r="BN50" s="145"/>
      <c r="BO50" s="145"/>
      <c r="BP50" s="145"/>
      <c r="BQ50" s="145"/>
      <c r="BR50" s="145"/>
      <c r="BS50" s="145"/>
      <c r="BT50" s="145"/>
      <c r="BU50" s="145"/>
      <c r="BV50" s="145"/>
      <c r="BW50" s="145"/>
      <c r="BX50" s="145"/>
      <c r="BY50" s="145"/>
      <c r="BZ50" s="145"/>
      <c r="CA50" s="145"/>
      <c r="CB50" s="145"/>
      <c r="CC50" s="145"/>
      <c r="CD50" s="145"/>
      <c r="CE50" s="145"/>
      <c r="CF50" s="145"/>
      <c r="CG50" s="145"/>
      <c r="CH50" s="145"/>
      <c r="CI50" s="145"/>
      <c r="CJ50" s="145"/>
      <c r="CK50" s="145"/>
      <c r="CL50" s="145"/>
      <c r="CM50" s="145"/>
      <c r="CN50" s="145"/>
      <c r="CO50" s="145"/>
      <c r="CP50" s="145"/>
      <c r="CQ50" s="145"/>
      <c r="CR50" s="145"/>
      <c r="CS50" s="145"/>
      <c r="CT50" s="145"/>
      <c r="CU50" s="145"/>
      <c r="CV50" s="145"/>
      <c r="CW50" s="145"/>
      <c r="CX50" s="145"/>
      <c r="CY50" s="145"/>
      <c r="CZ50" s="145"/>
      <c r="DA50" s="145"/>
      <c r="DB50" s="145"/>
      <c r="DC50" s="145"/>
      <c r="DD50" s="145"/>
      <c r="DE50" s="145"/>
      <c r="DF50" s="145"/>
      <c r="DG50" s="145"/>
      <c r="DH50" s="145"/>
      <c r="DI50" s="145"/>
      <c r="DJ50" s="145"/>
      <c r="DK50" s="145"/>
      <c r="DL50" s="145"/>
      <c r="DM50" s="145"/>
      <c r="DN50" s="145"/>
      <c r="DO50" s="145"/>
      <c r="DP50" s="145"/>
      <c r="DQ50" s="145"/>
      <c r="DR50" s="145"/>
      <c r="DS50" s="145"/>
      <c r="DT50" s="145"/>
      <c r="DU50" s="145"/>
      <c r="DV50" s="145"/>
      <c r="DW50" s="145"/>
      <c r="DX50" s="145"/>
      <c r="DY50" s="145"/>
      <c r="DZ50" s="145"/>
      <c r="EA50" s="145"/>
      <c r="EB50" s="145"/>
      <c r="EC50" s="145"/>
      <c r="ED50" s="145"/>
      <c r="EE50" s="145"/>
      <c r="EF50" s="145"/>
      <c r="EG50" s="145"/>
      <c r="EH50" s="145"/>
      <c r="EI50" s="145"/>
      <c r="EJ50" s="145"/>
      <c r="EK50" s="145"/>
      <c r="EL50" s="145"/>
      <c r="EM50" s="145"/>
      <c r="EN50" s="145"/>
      <c r="EO50" s="145"/>
      <c r="EP50" s="145"/>
      <c r="EQ50" s="145"/>
      <c r="ER50" s="145"/>
      <c r="ES50" s="145"/>
      <c r="ET50" s="145"/>
      <c r="EU50" s="145"/>
      <c r="EV50" s="145"/>
      <c r="EW50" s="145"/>
      <c r="EX50" s="145"/>
      <c r="EY50" s="145"/>
      <c r="EZ50" s="145"/>
      <c r="FA50" s="145"/>
      <c r="FB50" s="145"/>
      <c r="FC50" s="145"/>
      <c r="FD50" s="145"/>
      <c r="FE50" s="145"/>
      <c r="FF50" s="145"/>
      <c r="FG50" s="145"/>
      <c r="FH50" s="145"/>
      <c r="FI50" s="145"/>
      <c r="FJ50" s="145"/>
      <c r="FK50" s="145"/>
      <c r="FL50" s="145"/>
      <c r="FM50" s="145"/>
      <c r="FN50" s="145"/>
      <c r="FO50" s="145"/>
      <c r="FP50" s="145"/>
      <c r="FQ50" s="145"/>
      <c r="FR50" s="145"/>
      <c r="FS50" s="145"/>
      <c r="FT50" s="145"/>
      <c r="FU50" s="145"/>
      <c r="FV50" s="145"/>
      <c r="FW50" s="145"/>
      <c r="FX50" s="145"/>
      <c r="FY50" s="145"/>
      <c r="FZ50" s="145"/>
      <c r="GA50" s="145"/>
      <c r="GB50" s="141"/>
      <c r="GC50" s="141"/>
      <c r="GD50" s="141"/>
      <c r="GE50" s="141"/>
      <c r="GF50" s="141"/>
      <c r="GG50" s="141"/>
      <c r="GH50" s="141"/>
      <c r="GI50" s="141"/>
      <c r="GJ50" s="141"/>
      <c r="GK50" s="141"/>
      <c r="GL50" s="141"/>
      <c r="GM50" s="141"/>
      <c r="GN50" s="141"/>
      <c r="GO50" s="141"/>
      <c r="GP50" s="141"/>
      <c r="GQ50" s="141"/>
      <c r="GR50" s="141"/>
      <c r="GS50" s="141"/>
      <c r="GT50" s="141"/>
      <c r="GU50" s="141"/>
      <c r="GV50" s="141"/>
      <c r="GW50" s="141"/>
      <c r="GX50" s="141"/>
      <c r="GY50" s="141"/>
      <c r="GZ50" s="141"/>
      <c r="HA50" s="141"/>
      <c r="HB50" s="141"/>
      <c r="HC50" s="141"/>
    </row>
    <row r="51" spans="1:211" s="138" customFormat="1">
      <c r="A51" s="133">
        <f t="shared" si="19"/>
        <v>46</v>
      </c>
      <c r="B51" s="139" t="str">
        <f t="shared" ref="B51" si="87">MID(RIGHT(H51,8),1,7)</f>
        <v/>
      </c>
      <c r="C51" s="139" t="str">
        <f t="shared" ref="C51" si="88">MID(RIGHT(I51,8),1,7)</f>
        <v/>
      </c>
      <c r="D51" s="139" t="str">
        <f t="shared" ref="D51" si="89">MID(RIGHT(J51,8),1,7)</f>
        <v>ス時チェック機</v>
      </c>
      <c r="E51" s="139" t="str">
        <f t="shared" ref="E51" si="90">MID(RIGHT(K51,8),1,7)</f>
        <v/>
      </c>
      <c r="H51" s="131"/>
      <c r="I51" s="144"/>
      <c r="J51" s="131" t="s">
        <v>99</v>
      </c>
      <c r="K51" s="135"/>
      <c r="L51" s="136"/>
      <c r="M51" s="130"/>
      <c r="N51" s="134"/>
      <c r="O51" s="136"/>
      <c r="P51" s="136"/>
      <c r="Q51" s="136"/>
      <c r="R51" s="136"/>
      <c r="S51" s="137"/>
      <c r="T51" s="146">
        <v>41000</v>
      </c>
      <c r="U51" s="146"/>
      <c r="V51" s="129"/>
      <c r="W51" s="142" t="s">
        <v>72</v>
      </c>
      <c r="X51" s="146"/>
      <c r="Y51" s="146"/>
      <c r="Z51" s="132" t="str">
        <f t="shared" ref="Z51" ca="1" si="91">IF(SUM(AB51:HC51)=0,"",  SUM(AB51:HC51))</f>
        <v/>
      </c>
      <c r="AA51" s="143"/>
      <c r="AB51" s="140" t="str">
        <f t="shared" ca="1" si="86"/>
        <v>未着手</v>
      </c>
      <c r="AC51" s="145"/>
      <c r="AD51" s="145"/>
      <c r="AE51" s="145"/>
      <c r="AF51" s="145"/>
      <c r="AG51" s="145"/>
      <c r="AH51" s="145"/>
      <c r="AI51" s="145"/>
      <c r="AJ51" s="145"/>
      <c r="AK51" s="145"/>
      <c r="AL51" s="145"/>
      <c r="AM51" s="145"/>
      <c r="AN51" s="145"/>
      <c r="AO51" s="145"/>
      <c r="AP51" s="145"/>
      <c r="AQ51" s="145"/>
      <c r="AR51" s="145"/>
      <c r="AS51" s="145"/>
      <c r="AT51" s="145"/>
      <c r="AU51" s="145"/>
      <c r="AV51" s="145"/>
      <c r="AW51" s="145"/>
      <c r="AX51" s="145"/>
      <c r="AY51" s="145"/>
      <c r="AZ51" s="145"/>
      <c r="BA51" s="145"/>
      <c r="BB51" s="145"/>
      <c r="BC51" s="145"/>
      <c r="BD51" s="145"/>
      <c r="BE51" s="145"/>
      <c r="BF51" s="145"/>
      <c r="BG51" s="145"/>
      <c r="BH51" s="145"/>
      <c r="BI51" s="145"/>
      <c r="BJ51" s="145"/>
      <c r="BK51" s="145"/>
      <c r="BL51" s="145"/>
      <c r="BM51" s="145"/>
      <c r="BN51" s="145"/>
      <c r="BO51" s="145"/>
      <c r="BP51" s="145"/>
      <c r="BQ51" s="145"/>
      <c r="BR51" s="145"/>
      <c r="BS51" s="145"/>
      <c r="BT51" s="145"/>
      <c r="BU51" s="145"/>
      <c r="BV51" s="145"/>
      <c r="BW51" s="145"/>
      <c r="BX51" s="145"/>
      <c r="BY51" s="145"/>
      <c r="BZ51" s="145"/>
      <c r="CA51" s="145"/>
      <c r="CB51" s="145"/>
      <c r="CC51" s="145"/>
      <c r="CD51" s="145"/>
      <c r="CE51" s="145"/>
      <c r="CF51" s="145"/>
      <c r="CG51" s="145"/>
      <c r="CH51" s="145"/>
      <c r="CI51" s="145"/>
      <c r="CJ51" s="145"/>
      <c r="CK51" s="145"/>
      <c r="CL51" s="145"/>
      <c r="CM51" s="145"/>
      <c r="CN51" s="145"/>
      <c r="CO51" s="145"/>
      <c r="CP51" s="145"/>
      <c r="CQ51" s="145"/>
      <c r="CR51" s="145"/>
      <c r="CS51" s="145"/>
      <c r="CT51" s="145"/>
      <c r="CU51" s="145"/>
      <c r="CV51" s="145"/>
      <c r="CW51" s="145"/>
      <c r="CX51" s="145"/>
      <c r="CY51" s="145"/>
      <c r="CZ51" s="145"/>
      <c r="DA51" s="145"/>
      <c r="DB51" s="145"/>
      <c r="DC51" s="145"/>
      <c r="DD51" s="145"/>
      <c r="DE51" s="145"/>
      <c r="DF51" s="145"/>
      <c r="DG51" s="145"/>
      <c r="DH51" s="145"/>
      <c r="DI51" s="145"/>
      <c r="DJ51" s="145"/>
      <c r="DK51" s="145"/>
      <c r="DL51" s="145"/>
      <c r="DM51" s="145"/>
      <c r="DN51" s="145"/>
      <c r="DO51" s="145"/>
      <c r="DP51" s="145"/>
      <c r="DQ51" s="145"/>
      <c r="DR51" s="145"/>
      <c r="DS51" s="145"/>
      <c r="DT51" s="145"/>
      <c r="DU51" s="145"/>
      <c r="DV51" s="145"/>
      <c r="DW51" s="145"/>
      <c r="DX51" s="145"/>
      <c r="DY51" s="145"/>
      <c r="DZ51" s="145"/>
      <c r="EA51" s="145"/>
      <c r="EB51" s="145"/>
      <c r="EC51" s="145"/>
      <c r="ED51" s="145"/>
      <c r="EE51" s="145"/>
      <c r="EF51" s="145"/>
      <c r="EG51" s="145"/>
      <c r="EH51" s="145"/>
      <c r="EI51" s="145"/>
      <c r="EJ51" s="145"/>
      <c r="EK51" s="145"/>
      <c r="EL51" s="145"/>
      <c r="EM51" s="145"/>
      <c r="EN51" s="145"/>
      <c r="EO51" s="145"/>
      <c r="EP51" s="145"/>
      <c r="EQ51" s="145"/>
      <c r="ER51" s="145"/>
      <c r="ES51" s="145"/>
      <c r="ET51" s="145"/>
      <c r="EU51" s="145"/>
      <c r="EV51" s="145"/>
      <c r="EW51" s="145"/>
      <c r="EX51" s="145"/>
      <c r="EY51" s="145"/>
      <c r="EZ51" s="145"/>
      <c r="FA51" s="145"/>
      <c r="FB51" s="145"/>
      <c r="FC51" s="145"/>
      <c r="FD51" s="145"/>
      <c r="FE51" s="145"/>
      <c r="FF51" s="145"/>
      <c r="FG51" s="145"/>
      <c r="FH51" s="145"/>
      <c r="FI51" s="145"/>
      <c r="FJ51" s="145"/>
      <c r="FK51" s="145"/>
      <c r="FL51" s="145"/>
      <c r="FM51" s="145"/>
      <c r="FN51" s="145"/>
      <c r="FO51" s="145"/>
      <c r="FP51" s="145"/>
      <c r="FQ51" s="145"/>
      <c r="FR51" s="145"/>
      <c r="FS51" s="145"/>
      <c r="FT51" s="145"/>
      <c r="FU51" s="145"/>
      <c r="FV51" s="145"/>
      <c r="FW51" s="145"/>
      <c r="FX51" s="145"/>
      <c r="FY51" s="145"/>
      <c r="FZ51" s="145"/>
      <c r="GA51" s="145"/>
      <c r="GB51" s="141"/>
      <c r="GC51" s="141"/>
      <c r="GD51" s="141"/>
      <c r="GE51" s="141"/>
      <c r="GF51" s="141"/>
      <c r="GG51" s="141"/>
      <c r="GH51" s="141"/>
      <c r="GI51" s="141"/>
      <c r="GJ51" s="141"/>
      <c r="GK51" s="141"/>
      <c r="GL51" s="141"/>
      <c r="GM51" s="141"/>
      <c r="GN51" s="141"/>
      <c r="GO51" s="141"/>
      <c r="GP51" s="141"/>
      <c r="GQ51" s="141"/>
      <c r="GR51" s="141"/>
      <c r="GS51" s="141"/>
      <c r="GT51" s="141"/>
      <c r="GU51" s="141"/>
      <c r="GV51" s="141"/>
      <c r="GW51" s="141"/>
      <c r="GX51" s="141"/>
      <c r="GY51" s="141"/>
      <c r="GZ51" s="141"/>
      <c r="HA51" s="141"/>
      <c r="HB51" s="141"/>
      <c r="HC51" s="141"/>
    </row>
    <row r="52" spans="1:211" s="138" customFormat="1">
      <c r="A52" s="133">
        <f t="shared" si="19"/>
        <v>47</v>
      </c>
      <c r="B52" s="139" t="str">
        <f t="shared" si="84"/>
        <v/>
      </c>
      <c r="C52" s="139" t="str">
        <f t="shared" si="84"/>
        <v/>
      </c>
      <c r="D52" s="139" t="str">
        <f t="shared" si="84"/>
        <v>ス時チェック機</v>
      </c>
      <c r="E52" s="139" t="str">
        <f t="shared" si="84"/>
        <v/>
      </c>
      <c r="H52" s="131"/>
      <c r="I52" s="144"/>
      <c r="J52" s="131" t="s">
        <v>99</v>
      </c>
      <c r="K52" s="135"/>
      <c r="L52" s="136"/>
      <c r="M52" s="130"/>
      <c r="N52" s="134"/>
      <c r="O52" s="136"/>
      <c r="P52" s="136"/>
      <c r="Q52" s="136"/>
      <c r="R52" s="136"/>
      <c r="S52" s="137"/>
      <c r="T52" s="146">
        <v>41000</v>
      </c>
      <c r="U52" s="146"/>
      <c r="V52" s="129"/>
      <c r="W52" s="142" t="s">
        <v>155</v>
      </c>
      <c r="X52" s="146"/>
      <c r="Y52" s="146"/>
      <c r="Z52" s="132">
        <f t="shared" ca="1" si="85"/>
        <v>58.25</v>
      </c>
      <c r="AA52" s="143"/>
      <c r="AB52" s="140" t="str">
        <f t="shared" ca="1" si="86"/>
        <v>未着手</v>
      </c>
      <c r="AC52" s="145"/>
      <c r="AD52" s="145"/>
      <c r="AE52" s="145"/>
      <c r="AF52" s="145"/>
      <c r="AG52" s="145"/>
      <c r="AH52" s="145"/>
      <c r="AI52" s="145"/>
      <c r="AJ52" s="145"/>
      <c r="AK52" s="145"/>
      <c r="AL52" s="145"/>
      <c r="AM52" s="145"/>
      <c r="AN52" s="145"/>
      <c r="AO52" s="145"/>
      <c r="AP52" s="145"/>
      <c r="AQ52" s="145"/>
      <c r="AR52" s="145"/>
      <c r="AS52" s="145"/>
      <c r="AT52" s="145"/>
      <c r="AU52" s="145"/>
      <c r="AV52" s="145"/>
      <c r="AW52" s="145"/>
      <c r="AX52" s="145"/>
      <c r="AY52" s="145"/>
      <c r="AZ52" s="145"/>
      <c r="BA52" s="145"/>
      <c r="BB52" s="145"/>
      <c r="BC52" s="145"/>
      <c r="BD52" s="145"/>
      <c r="BE52" s="145"/>
      <c r="BF52" s="145"/>
      <c r="BG52" s="145"/>
      <c r="BH52" s="145"/>
      <c r="BI52" s="145"/>
      <c r="BJ52" s="145"/>
      <c r="BK52" s="145"/>
      <c r="BL52" s="145"/>
      <c r="BM52" s="145"/>
      <c r="BN52" s="145"/>
      <c r="BO52" s="145"/>
      <c r="BP52" s="145"/>
      <c r="BQ52" s="145">
        <v>2.5</v>
      </c>
      <c r="BR52" s="145">
        <v>3.75</v>
      </c>
      <c r="BS52" s="145">
        <v>4.75</v>
      </c>
      <c r="BT52" s="145">
        <v>8.5</v>
      </c>
      <c r="BU52" s="145"/>
      <c r="BV52" s="145"/>
      <c r="BW52" s="145">
        <v>8</v>
      </c>
      <c r="BX52" s="145">
        <v>7.75</v>
      </c>
      <c r="BY52" s="145"/>
      <c r="BZ52" s="145">
        <v>7</v>
      </c>
      <c r="CA52" s="145">
        <v>8.5</v>
      </c>
      <c r="CB52" s="145">
        <v>7.5</v>
      </c>
      <c r="CC52" s="145"/>
      <c r="CD52" s="145"/>
      <c r="CE52" s="145"/>
      <c r="CF52" s="145"/>
      <c r="CG52" s="145"/>
      <c r="CH52" s="145"/>
      <c r="CI52" s="145"/>
      <c r="CJ52" s="145"/>
      <c r="CK52" s="145"/>
      <c r="CL52" s="145"/>
      <c r="CM52" s="145"/>
      <c r="CN52" s="145"/>
      <c r="CO52" s="145"/>
      <c r="CP52" s="145"/>
      <c r="CQ52" s="145"/>
      <c r="CR52" s="145"/>
      <c r="CS52" s="145"/>
      <c r="CT52" s="145"/>
      <c r="CU52" s="145"/>
      <c r="CV52" s="145"/>
      <c r="CW52" s="145"/>
      <c r="CX52" s="145"/>
      <c r="CY52" s="145"/>
      <c r="CZ52" s="145"/>
      <c r="DA52" s="145"/>
      <c r="DB52" s="145"/>
      <c r="DC52" s="145"/>
      <c r="DD52" s="145"/>
      <c r="DE52" s="145"/>
      <c r="DF52" s="145"/>
      <c r="DG52" s="145"/>
      <c r="DH52" s="145"/>
      <c r="DI52" s="145"/>
      <c r="DJ52" s="145"/>
      <c r="DK52" s="145"/>
      <c r="DL52" s="145"/>
      <c r="DM52" s="145"/>
      <c r="DN52" s="145"/>
      <c r="DO52" s="145"/>
      <c r="DP52" s="145"/>
      <c r="DQ52" s="145"/>
      <c r="DR52" s="145"/>
      <c r="DS52" s="145"/>
      <c r="DT52" s="145"/>
      <c r="DU52" s="145"/>
      <c r="DV52" s="145"/>
      <c r="DW52" s="145"/>
      <c r="DX52" s="145"/>
      <c r="DY52" s="145"/>
      <c r="DZ52" s="145"/>
      <c r="EA52" s="145"/>
      <c r="EB52" s="145"/>
      <c r="EC52" s="145"/>
      <c r="ED52" s="145"/>
      <c r="EE52" s="145"/>
      <c r="EF52" s="145"/>
      <c r="EG52" s="145"/>
      <c r="EH52" s="145"/>
      <c r="EI52" s="145"/>
      <c r="EJ52" s="145"/>
      <c r="EK52" s="145"/>
      <c r="EL52" s="145"/>
      <c r="EM52" s="145"/>
      <c r="EN52" s="145"/>
      <c r="EO52" s="145"/>
      <c r="EP52" s="145"/>
      <c r="EQ52" s="145"/>
      <c r="ER52" s="145"/>
      <c r="ES52" s="145"/>
      <c r="ET52" s="145"/>
      <c r="EU52" s="145"/>
      <c r="EV52" s="145"/>
      <c r="EW52" s="145"/>
      <c r="EX52" s="145"/>
      <c r="EY52" s="145"/>
      <c r="EZ52" s="145"/>
      <c r="FA52" s="145"/>
      <c r="FB52" s="145"/>
      <c r="FC52" s="145"/>
      <c r="FD52" s="145"/>
      <c r="FE52" s="145"/>
      <c r="FF52" s="145"/>
      <c r="FG52" s="145"/>
      <c r="FH52" s="145"/>
      <c r="FI52" s="145"/>
      <c r="FJ52" s="145"/>
      <c r="FK52" s="145"/>
      <c r="FL52" s="145"/>
      <c r="FM52" s="145"/>
      <c r="FN52" s="145"/>
      <c r="FO52" s="145"/>
      <c r="FP52" s="145"/>
      <c r="FQ52" s="145"/>
      <c r="FR52" s="145"/>
      <c r="FS52" s="145"/>
      <c r="FT52" s="145"/>
      <c r="FU52" s="145"/>
      <c r="FV52" s="145"/>
      <c r="FW52" s="145"/>
      <c r="FX52" s="145"/>
      <c r="FY52" s="145"/>
      <c r="FZ52" s="145"/>
      <c r="GA52" s="145"/>
      <c r="GB52" s="141"/>
      <c r="GC52" s="141"/>
      <c r="GD52" s="141"/>
      <c r="GE52" s="141"/>
      <c r="GF52" s="141"/>
      <c r="GG52" s="141"/>
      <c r="GH52" s="141"/>
      <c r="GI52" s="141"/>
      <c r="GJ52" s="141"/>
      <c r="GK52" s="141"/>
      <c r="GL52" s="141"/>
      <c r="GM52" s="141"/>
      <c r="GN52" s="141"/>
      <c r="GO52" s="141"/>
      <c r="GP52" s="141"/>
      <c r="GQ52" s="141"/>
      <c r="GR52" s="141"/>
      <c r="GS52" s="141"/>
      <c r="GT52" s="141"/>
      <c r="GU52" s="141"/>
      <c r="GV52" s="141"/>
      <c r="GW52" s="141"/>
      <c r="GX52" s="141"/>
      <c r="GY52" s="141"/>
      <c r="GZ52" s="141"/>
      <c r="HA52" s="141"/>
      <c r="HB52" s="141"/>
      <c r="HC52" s="141"/>
    </row>
    <row r="53" spans="1:211" s="138" customFormat="1">
      <c r="A53" s="133">
        <f t="shared" si="19"/>
        <v>48</v>
      </c>
      <c r="B53" s="139" t="str">
        <f t="shared" si="84"/>
        <v/>
      </c>
      <c r="C53" s="139" t="str">
        <f t="shared" si="84"/>
        <v/>
      </c>
      <c r="D53" s="139" t="str">
        <f t="shared" si="84"/>
        <v>ス時チェック機</v>
      </c>
      <c r="E53" s="139" t="str">
        <f t="shared" si="84"/>
        <v/>
      </c>
      <c r="H53" s="131"/>
      <c r="I53" s="144"/>
      <c r="J53" s="131" t="s">
        <v>99</v>
      </c>
      <c r="K53" s="135"/>
      <c r="L53" s="136"/>
      <c r="M53" s="130"/>
      <c r="N53" s="134"/>
      <c r="O53" s="136"/>
      <c r="P53" s="136"/>
      <c r="Q53" s="136"/>
      <c r="R53" s="136"/>
      <c r="S53" s="137"/>
      <c r="T53" s="146"/>
      <c r="U53" s="146"/>
      <c r="V53" s="129"/>
      <c r="W53" s="142" t="s">
        <v>45</v>
      </c>
      <c r="X53" s="146"/>
      <c r="Y53" s="146"/>
      <c r="Z53" s="132">
        <f t="shared" ca="1" si="85"/>
        <v>0.5</v>
      </c>
      <c r="AA53" s="143"/>
      <c r="AB53" s="140" t="str">
        <f t="shared" ca="1" si="86"/>
        <v/>
      </c>
      <c r="AC53" s="145"/>
      <c r="AD53" s="145"/>
      <c r="AE53" s="145"/>
      <c r="AF53" s="145"/>
      <c r="AG53" s="145"/>
      <c r="AH53" s="145"/>
      <c r="AI53" s="145"/>
      <c r="AJ53" s="145"/>
      <c r="AK53" s="145"/>
      <c r="AL53" s="145"/>
      <c r="AM53" s="145"/>
      <c r="AN53" s="145"/>
      <c r="AO53" s="145"/>
      <c r="AP53" s="145"/>
      <c r="AQ53" s="145"/>
      <c r="AR53" s="145"/>
      <c r="AS53" s="145"/>
      <c r="AT53" s="145"/>
      <c r="AU53" s="145"/>
      <c r="AV53" s="145"/>
      <c r="AW53" s="145"/>
      <c r="AX53" s="145"/>
      <c r="AY53" s="145"/>
      <c r="AZ53" s="145"/>
      <c r="BA53" s="145"/>
      <c r="BB53" s="145"/>
      <c r="BC53" s="145"/>
      <c r="BD53" s="145"/>
      <c r="BE53" s="145"/>
      <c r="BF53" s="145"/>
      <c r="BG53" s="145"/>
      <c r="BH53" s="145"/>
      <c r="BI53" s="145"/>
      <c r="BJ53" s="145"/>
      <c r="BK53" s="145"/>
      <c r="BL53" s="145"/>
      <c r="BM53" s="145"/>
      <c r="BN53" s="145"/>
      <c r="BO53" s="145"/>
      <c r="BP53" s="145"/>
      <c r="BQ53" s="145"/>
      <c r="BR53" s="145"/>
      <c r="BS53" s="145"/>
      <c r="BT53" s="145"/>
      <c r="BU53" s="145"/>
      <c r="BV53" s="145"/>
      <c r="BW53" s="145"/>
      <c r="BX53" s="145"/>
      <c r="BY53" s="145"/>
      <c r="BZ53" s="145"/>
      <c r="CA53" s="145"/>
      <c r="CB53" s="145"/>
      <c r="CC53" s="145"/>
      <c r="CD53" s="145"/>
      <c r="CE53" s="145"/>
      <c r="CF53" s="145"/>
      <c r="CG53" s="145"/>
      <c r="CH53" s="145"/>
      <c r="CI53" s="145">
        <v>0.5</v>
      </c>
      <c r="CJ53" s="145"/>
      <c r="CK53" s="145"/>
      <c r="CL53" s="145"/>
      <c r="CM53" s="145"/>
      <c r="CN53" s="145"/>
      <c r="CO53" s="145"/>
      <c r="CP53" s="145"/>
      <c r="CQ53" s="145"/>
      <c r="CR53" s="145"/>
      <c r="CS53" s="145"/>
      <c r="CT53" s="145"/>
      <c r="CU53" s="145"/>
      <c r="CV53" s="145"/>
      <c r="CW53" s="145"/>
      <c r="CX53" s="145"/>
      <c r="CY53" s="145"/>
      <c r="CZ53" s="145"/>
      <c r="DA53" s="145"/>
      <c r="DB53" s="145"/>
      <c r="DC53" s="145"/>
      <c r="DD53" s="145"/>
      <c r="DE53" s="145"/>
      <c r="DF53" s="145"/>
      <c r="DG53" s="145"/>
      <c r="DH53" s="145"/>
      <c r="DI53" s="145"/>
      <c r="DJ53" s="145"/>
      <c r="DK53" s="145"/>
      <c r="DL53" s="145"/>
      <c r="DM53" s="145"/>
      <c r="DN53" s="145"/>
      <c r="DO53" s="145"/>
      <c r="DP53" s="145"/>
      <c r="DQ53" s="145"/>
      <c r="DR53" s="145"/>
      <c r="DS53" s="145"/>
      <c r="DT53" s="145"/>
      <c r="DU53" s="145"/>
      <c r="DV53" s="145"/>
      <c r="DW53" s="145"/>
      <c r="DX53" s="145"/>
      <c r="DY53" s="145"/>
      <c r="DZ53" s="145"/>
      <c r="EA53" s="145"/>
      <c r="EB53" s="145"/>
      <c r="EC53" s="145"/>
      <c r="ED53" s="145"/>
      <c r="EE53" s="145"/>
      <c r="EF53" s="145"/>
      <c r="EG53" s="145"/>
      <c r="EH53" s="145"/>
      <c r="EI53" s="145"/>
      <c r="EJ53" s="145"/>
      <c r="EK53" s="145"/>
      <c r="EL53" s="145"/>
      <c r="EM53" s="145"/>
      <c r="EN53" s="145"/>
      <c r="EO53" s="145"/>
      <c r="EP53" s="145"/>
      <c r="EQ53" s="145"/>
      <c r="ER53" s="145"/>
      <c r="ES53" s="145"/>
      <c r="ET53" s="145"/>
      <c r="EU53" s="145"/>
      <c r="EV53" s="145"/>
      <c r="EW53" s="145"/>
      <c r="EX53" s="145"/>
      <c r="EY53" s="145"/>
      <c r="EZ53" s="145"/>
      <c r="FA53" s="145"/>
      <c r="FB53" s="145"/>
      <c r="FC53" s="145"/>
      <c r="FD53" s="145"/>
      <c r="FE53" s="145"/>
      <c r="FF53" s="145"/>
      <c r="FG53" s="145"/>
      <c r="FH53" s="145"/>
      <c r="FI53" s="145"/>
      <c r="FJ53" s="145"/>
      <c r="FK53" s="145"/>
      <c r="FL53" s="145"/>
      <c r="FM53" s="145"/>
      <c r="FN53" s="145"/>
      <c r="FO53" s="145"/>
      <c r="FP53" s="145"/>
      <c r="FQ53" s="145"/>
      <c r="FR53" s="145"/>
      <c r="FS53" s="145"/>
      <c r="FT53" s="145"/>
      <c r="FU53" s="145"/>
      <c r="FV53" s="145"/>
      <c r="FW53" s="145"/>
      <c r="FX53" s="145"/>
      <c r="FY53" s="145"/>
      <c r="FZ53" s="145"/>
      <c r="GA53" s="145"/>
      <c r="GB53" s="141"/>
      <c r="GC53" s="141"/>
      <c r="GD53" s="141"/>
      <c r="GE53" s="141"/>
      <c r="GF53" s="141"/>
      <c r="GG53" s="141"/>
      <c r="GH53" s="141"/>
      <c r="GI53" s="141"/>
      <c r="GJ53" s="141"/>
      <c r="GK53" s="141"/>
      <c r="GL53" s="141"/>
      <c r="GM53" s="141"/>
      <c r="GN53" s="141"/>
      <c r="GO53" s="141"/>
      <c r="GP53" s="141"/>
      <c r="GQ53" s="141"/>
      <c r="GR53" s="141"/>
      <c r="GS53" s="141"/>
      <c r="GT53" s="141"/>
      <c r="GU53" s="141"/>
      <c r="GV53" s="141"/>
      <c r="GW53" s="141"/>
      <c r="GX53" s="141"/>
      <c r="GY53" s="141"/>
      <c r="GZ53" s="141"/>
      <c r="HA53" s="141"/>
      <c r="HB53" s="141"/>
      <c r="HC53" s="141"/>
    </row>
    <row r="54" spans="1:211" s="138" customFormat="1">
      <c r="A54" s="133">
        <f t="shared" si="19"/>
        <v>49</v>
      </c>
      <c r="B54" s="139" t="str">
        <f t="shared" ref="B54" si="92">MID(RIGHT(H54,8),1,7)</f>
        <v/>
      </c>
      <c r="C54" s="139" t="str">
        <f t="shared" ref="C54" si="93">MID(RIGHT(I54,8),1,7)</f>
        <v/>
      </c>
      <c r="D54" s="139" t="str">
        <f t="shared" ref="D54" si="94">MID(RIGHT(J54,8),1,7)</f>
        <v>ス時チェック機</v>
      </c>
      <c r="E54" s="139" t="str">
        <f t="shared" ref="E54" si="95">MID(RIGHT(K54,8),1,7)</f>
        <v/>
      </c>
      <c r="H54" s="131"/>
      <c r="I54" s="144"/>
      <c r="J54" s="131" t="s">
        <v>99</v>
      </c>
      <c r="K54" s="135"/>
      <c r="L54" s="136"/>
      <c r="M54" s="130"/>
      <c r="N54" s="134"/>
      <c r="O54" s="136"/>
      <c r="P54" s="136"/>
      <c r="Q54" s="136"/>
      <c r="R54" s="136"/>
      <c r="S54" s="137"/>
      <c r="T54" s="146">
        <v>41071</v>
      </c>
      <c r="U54" s="146"/>
      <c r="V54" s="129"/>
      <c r="W54" s="142" t="s">
        <v>170</v>
      </c>
      <c r="X54" s="146"/>
      <c r="Y54" s="146"/>
      <c r="Z54" s="132">
        <f t="shared" ref="Z54" ca="1" si="96">IF(SUM(AB54:HC54)=0,"",  SUM(AB54:HC54))</f>
        <v>27</v>
      </c>
      <c r="AA54" s="143"/>
      <c r="AB54" s="140" t="str">
        <f t="shared" ca="1" si="86"/>
        <v>未着手</v>
      </c>
      <c r="AC54" s="145"/>
      <c r="AD54" s="145"/>
      <c r="AE54" s="145"/>
      <c r="AF54" s="145"/>
      <c r="AG54" s="145"/>
      <c r="AH54" s="145"/>
      <c r="AI54" s="145"/>
      <c r="AJ54" s="145"/>
      <c r="AK54" s="145"/>
      <c r="AL54" s="145"/>
      <c r="AM54" s="145"/>
      <c r="AN54" s="145"/>
      <c r="AO54" s="145"/>
      <c r="AP54" s="145"/>
      <c r="AQ54" s="145"/>
      <c r="AR54" s="145"/>
      <c r="AS54" s="145"/>
      <c r="AT54" s="145"/>
      <c r="AU54" s="145"/>
      <c r="AV54" s="145"/>
      <c r="AW54" s="145"/>
      <c r="AX54" s="145"/>
      <c r="AY54" s="145"/>
      <c r="AZ54" s="145"/>
      <c r="BA54" s="145"/>
      <c r="BB54" s="145"/>
      <c r="BC54" s="145"/>
      <c r="BD54" s="145"/>
      <c r="BE54" s="145"/>
      <c r="BF54" s="145"/>
      <c r="BG54" s="145"/>
      <c r="BH54" s="145"/>
      <c r="BI54" s="145"/>
      <c r="BJ54" s="145"/>
      <c r="BK54" s="145"/>
      <c r="BL54" s="145"/>
      <c r="BM54" s="145"/>
      <c r="BN54" s="145"/>
      <c r="BO54" s="145"/>
      <c r="BP54" s="145"/>
      <c r="BQ54" s="145"/>
      <c r="BR54" s="145"/>
      <c r="BS54" s="145"/>
      <c r="BT54" s="145"/>
      <c r="BU54" s="145"/>
      <c r="BV54" s="145"/>
      <c r="BW54" s="145"/>
      <c r="BX54" s="145"/>
      <c r="BY54" s="145"/>
      <c r="BZ54" s="145"/>
      <c r="CA54" s="145"/>
      <c r="CB54" s="145"/>
      <c r="CC54" s="145"/>
      <c r="CD54" s="145"/>
      <c r="CE54" s="145"/>
      <c r="CF54" s="145"/>
      <c r="CG54" s="145"/>
      <c r="CH54" s="145"/>
      <c r="CI54" s="145">
        <v>9</v>
      </c>
      <c r="CJ54" s="145">
        <v>6</v>
      </c>
      <c r="CK54" s="145">
        <v>8</v>
      </c>
      <c r="CL54" s="145">
        <v>4</v>
      </c>
      <c r="CM54" s="145"/>
      <c r="CN54" s="145"/>
      <c r="CO54" s="145"/>
      <c r="CP54" s="145"/>
      <c r="CQ54" s="145"/>
      <c r="CR54" s="145"/>
      <c r="CS54" s="145"/>
      <c r="CT54" s="145"/>
      <c r="CU54" s="145"/>
      <c r="CV54" s="145"/>
      <c r="CW54" s="145"/>
      <c r="CX54" s="145"/>
      <c r="CY54" s="145"/>
      <c r="CZ54" s="145"/>
      <c r="DA54" s="145"/>
      <c r="DB54" s="145"/>
      <c r="DC54" s="145"/>
      <c r="DD54" s="145"/>
      <c r="DE54" s="145"/>
      <c r="DF54" s="145"/>
      <c r="DG54" s="145"/>
      <c r="DH54" s="145"/>
      <c r="DI54" s="145"/>
      <c r="DJ54" s="145"/>
      <c r="DK54" s="145"/>
      <c r="DL54" s="145"/>
      <c r="DM54" s="145"/>
      <c r="DN54" s="145"/>
      <c r="DO54" s="145"/>
      <c r="DP54" s="145"/>
      <c r="DQ54" s="145"/>
      <c r="DR54" s="145"/>
      <c r="DS54" s="145"/>
      <c r="DT54" s="145"/>
      <c r="DU54" s="145"/>
      <c r="DV54" s="145"/>
      <c r="DW54" s="145"/>
      <c r="DX54" s="145"/>
      <c r="DY54" s="145"/>
      <c r="DZ54" s="145"/>
      <c r="EA54" s="145"/>
      <c r="EB54" s="145"/>
      <c r="EC54" s="145"/>
      <c r="ED54" s="145"/>
      <c r="EE54" s="145"/>
      <c r="EF54" s="145"/>
      <c r="EG54" s="145"/>
      <c r="EH54" s="145"/>
      <c r="EI54" s="145"/>
      <c r="EJ54" s="145"/>
      <c r="EK54" s="145"/>
      <c r="EL54" s="145"/>
      <c r="EM54" s="145"/>
      <c r="EN54" s="145"/>
      <c r="EO54" s="145"/>
      <c r="EP54" s="145"/>
      <c r="EQ54" s="145"/>
      <c r="ER54" s="145"/>
      <c r="ES54" s="145"/>
      <c r="ET54" s="145"/>
      <c r="EU54" s="145"/>
      <c r="EV54" s="145"/>
      <c r="EW54" s="145"/>
      <c r="EX54" s="145"/>
      <c r="EY54" s="145"/>
      <c r="EZ54" s="145"/>
      <c r="FA54" s="145"/>
      <c r="FB54" s="145"/>
      <c r="FC54" s="145"/>
      <c r="FD54" s="145"/>
      <c r="FE54" s="145"/>
      <c r="FF54" s="145"/>
      <c r="FG54" s="145"/>
      <c r="FH54" s="145"/>
      <c r="FI54" s="145"/>
      <c r="FJ54" s="145"/>
      <c r="FK54" s="145"/>
      <c r="FL54" s="145"/>
      <c r="FM54" s="145"/>
      <c r="FN54" s="145"/>
      <c r="FO54" s="145"/>
      <c r="FP54" s="145"/>
      <c r="FQ54" s="145"/>
      <c r="FR54" s="145"/>
      <c r="FS54" s="145"/>
      <c r="FT54" s="145"/>
      <c r="FU54" s="145"/>
      <c r="FV54" s="145"/>
      <c r="FW54" s="145"/>
      <c r="FX54" s="145"/>
      <c r="FY54" s="145"/>
      <c r="FZ54" s="145"/>
      <c r="GA54" s="145"/>
      <c r="GB54" s="141"/>
      <c r="GC54" s="141"/>
      <c r="GD54" s="141"/>
      <c r="GE54" s="141"/>
      <c r="GF54" s="141"/>
      <c r="GG54" s="141"/>
      <c r="GH54" s="141"/>
      <c r="GI54" s="141"/>
      <c r="GJ54" s="141"/>
      <c r="GK54" s="141"/>
      <c r="GL54" s="141"/>
      <c r="GM54" s="141"/>
      <c r="GN54" s="141"/>
      <c r="GO54" s="141"/>
      <c r="GP54" s="141"/>
      <c r="GQ54" s="141"/>
      <c r="GR54" s="141"/>
      <c r="GS54" s="141"/>
      <c r="GT54" s="141"/>
      <c r="GU54" s="141"/>
      <c r="GV54" s="141"/>
      <c r="GW54" s="141"/>
      <c r="GX54" s="141"/>
      <c r="GY54" s="141"/>
      <c r="GZ54" s="141"/>
      <c r="HA54" s="141"/>
      <c r="HB54" s="141"/>
      <c r="HC54" s="141"/>
    </row>
    <row r="55" spans="1:211" s="138" customFormat="1">
      <c r="A55" s="133">
        <f t="shared" si="19"/>
        <v>50</v>
      </c>
      <c r="B55" s="139" t="str">
        <f t="shared" si="84"/>
        <v/>
      </c>
      <c r="C55" s="139" t="str">
        <f t="shared" si="84"/>
        <v/>
      </c>
      <c r="D55" s="139" t="str">
        <f t="shared" si="84"/>
        <v>全回帰環境作成</v>
      </c>
      <c r="E55" s="139" t="str">
        <f t="shared" si="84"/>
        <v/>
      </c>
      <c r="H55" s="131"/>
      <c r="I55" s="144"/>
      <c r="J55" s="131" t="s">
        <v>100</v>
      </c>
      <c r="K55" s="135"/>
      <c r="L55" s="136"/>
      <c r="M55" s="130"/>
      <c r="N55" s="134"/>
      <c r="O55" s="136"/>
      <c r="P55" s="136"/>
      <c r="Q55" s="136"/>
      <c r="R55" s="136"/>
      <c r="S55" s="137"/>
      <c r="T55" s="146">
        <v>41000</v>
      </c>
      <c r="U55" s="146"/>
      <c r="V55" s="129"/>
      <c r="W55" s="142" t="s">
        <v>77</v>
      </c>
      <c r="X55" s="146"/>
      <c r="Y55" s="146"/>
      <c r="Z55" s="132" t="str">
        <f t="shared" ca="1" si="85"/>
        <v/>
      </c>
      <c r="AA55" s="143"/>
      <c r="AB55" s="140" t="str">
        <f t="shared" ca="1" si="86"/>
        <v>未着手</v>
      </c>
      <c r="AC55" s="145"/>
      <c r="AD55" s="145"/>
      <c r="AE55" s="145"/>
      <c r="AF55" s="145"/>
      <c r="AG55" s="145"/>
      <c r="AH55" s="145"/>
      <c r="AI55" s="145"/>
      <c r="AJ55" s="145"/>
      <c r="AK55" s="145"/>
      <c r="AL55" s="145"/>
      <c r="AM55" s="145"/>
      <c r="AN55" s="145"/>
      <c r="AO55" s="145"/>
      <c r="AP55" s="145"/>
      <c r="AQ55" s="145"/>
      <c r="AR55" s="145"/>
      <c r="AS55" s="145"/>
      <c r="AT55" s="145"/>
      <c r="AU55" s="145"/>
      <c r="AV55" s="145"/>
      <c r="AW55" s="145"/>
      <c r="AX55" s="145"/>
      <c r="AY55" s="145"/>
      <c r="AZ55" s="145"/>
      <c r="BA55" s="145"/>
      <c r="BB55" s="145"/>
      <c r="BC55" s="145"/>
      <c r="BD55" s="145"/>
      <c r="BE55" s="145"/>
      <c r="BF55" s="145"/>
      <c r="BG55" s="145"/>
      <c r="BH55" s="145"/>
      <c r="BI55" s="145"/>
      <c r="BJ55" s="145"/>
      <c r="BK55" s="145"/>
      <c r="BL55" s="145"/>
      <c r="BM55" s="145"/>
      <c r="BN55" s="145"/>
      <c r="BO55" s="145"/>
      <c r="BP55" s="145"/>
      <c r="BQ55" s="145"/>
      <c r="BR55" s="145"/>
      <c r="BS55" s="145"/>
      <c r="BT55" s="145"/>
      <c r="BU55" s="145"/>
      <c r="BV55" s="145"/>
      <c r="BW55" s="145"/>
      <c r="BX55" s="145"/>
      <c r="BY55" s="145"/>
      <c r="BZ55" s="145"/>
      <c r="CA55" s="145"/>
      <c r="CB55" s="145"/>
      <c r="CC55" s="145"/>
      <c r="CD55" s="145"/>
      <c r="CE55" s="145"/>
      <c r="CF55" s="145"/>
      <c r="CG55" s="145"/>
      <c r="CH55" s="145"/>
      <c r="CI55" s="145"/>
      <c r="CJ55" s="145"/>
      <c r="CK55" s="145"/>
      <c r="CL55" s="145"/>
      <c r="CM55" s="145"/>
      <c r="CN55" s="145"/>
      <c r="CO55" s="145"/>
      <c r="CP55" s="145"/>
      <c r="CQ55" s="145"/>
      <c r="CR55" s="145"/>
      <c r="CS55" s="145"/>
      <c r="CT55" s="145"/>
      <c r="CU55" s="145"/>
      <c r="CV55" s="145"/>
      <c r="CW55" s="145"/>
      <c r="CX55" s="145"/>
      <c r="CY55" s="145"/>
      <c r="CZ55" s="145"/>
      <c r="DA55" s="145"/>
      <c r="DB55" s="145"/>
      <c r="DC55" s="145"/>
      <c r="DD55" s="145"/>
      <c r="DE55" s="145"/>
      <c r="DF55" s="145"/>
      <c r="DG55" s="145"/>
      <c r="DH55" s="145"/>
      <c r="DI55" s="145"/>
      <c r="DJ55" s="145"/>
      <c r="DK55" s="145"/>
      <c r="DL55" s="145"/>
      <c r="DM55" s="145"/>
      <c r="DN55" s="145"/>
      <c r="DO55" s="145"/>
      <c r="DP55" s="145"/>
      <c r="DQ55" s="145"/>
      <c r="DR55" s="145"/>
      <c r="DS55" s="145"/>
      <c r="DT55" s="145"/>
      <c r="DU55" s="145"/>
      <c r="DV55" s="145"/>
      <c r="DW55" s="145"/>
      <c r="DX55" s="145"/>
      <c r="DY55" s="145"/>
      <c r="DZ55" s="145"/>
      <c r="EA55" s="145"/>
      <c r="EB55" s="145"/>
      <c r="EC55" s="145"/>
      <c r="ED55" s="145"/>
      <c r="EE55" s="145"/>
      <c r="EF55" s="145"/>
      <c r="EG55" s="145"/>
      <c r="EH55" s="145"/>
      <c r="EI55" s="145"/>
      <c r="EJ55" s="145"/>
      <c r="EK55" s="145"/>
      <c r="EL55" s="145"/>
      <c r="EM55" s="145"/>
      <c r="EN55" s="145"/>
      <c r="EO55" s="145"/>
      <c r="EP55" s="145"/>
      <c r="EQ55" s="145"/>
      <c r="ER55" s="145"/>
      <c r="ES55" s="145"/>
      <c r="ET55" s="145"/>
      <c r="EU55" s="145"/>
      <c r="EV55" s="145"/>
      <c r="EW55" s="145"/>
      <c r="EX55" s="145"/>
      <c r="EY55" s="145"/>
      <c r="EZ55" s="145"/>
      <c r="FA55" s="145"/>
      <c r="FB55" s="145"/>
      <c r="FC55" s="145"/>
      <c r="FD55" s="145"/>
      <c r="FE55" s="145"/>
      <c r="FF55" s="145"/>
      <c r="FG55" s="145"/>
      <c r="FH55" s="145"/>
      <c r="FI55" s="145"/>
      <c r="FJ55" s="145"/>
      <c r="FK55" s="145"/>
      <c r="FL55" s="145"/>
      <c r="FM55" s="145"/>
      <c r="FN55" s="145"/>
      <c r="FO55" s="145"/>
      <c r="FP55" s="145"/>
      <c r="FQ55" s="145"/>
      <c r="FR55" s="145"/>
      <c r="FS55" s="145"/>
      <c r="FT55" s="145"/>
      <c r="FU55" s="145"/>
      <c r="FV55" s="145"/>
      <c r="FW55" s="145"/>
      <c r="FX55" s="145"/>
      <c r="FY55" s="145"/>
      <c r="FZ55" s="145"/>
      <c r="GA55" s="145"/>
      <c r="GB55" s="141"/>
      <c r="GC55" s="141"/>
      <c r="GD55" s="141"/>
      <c r="GE55" s="141"/>
      <c r="GF55" s="141"/>
      <c r="GG55" s="141"/>
      <c r="GH55" s="141"/>
      <c r="GI55" s="141"/>
      <c r="GJ55" s="141"/>
      <c r="GK55" s="141"/>
      <c r="GL55" s="141"/>
      <c r="GM55" s="141"/>
      <c r="GN55" s="141"/>
      <c r="GO55" s="141"/>
      <c r="GP55" s="141"/>
      <c r="GQ55" s="141"/>
      <c r="GR55" s="141"/>
      <c r="GS55" s="141"/>
      <c r="GT55" s="141"/>
      <c r="GU55" s="141"/>
      <c r="GV55" s="141"/>
      <c r="GW55" s="141"/>
      <c r="GX55" s="141"/>
      <c r="GY55" s="141"/>
      <c r="GZ55" s="141"/>
      <c r="HA55" s="141"/>
      <c r="HB55" s="141"/>
      <c r="HC55" s="141"/>
    </row>
    <row r="56" spans="1:211" s="138" customFormat="1">
      <c r="A56" s="133">
        <f t="shared" si="19"/>
        <v>51</v>
      </c>
      <c r="B56" s="139" t="str">
        <f t="shared" si="84"/>
        <v/>
      </c>
      <c r="C56" s="139" t="str">
        <f t="shared" si="84"/>
        <v/>
      </c>
      <c r="D56" s="139" t="str">
        <f t="shared" si="84"/>
        <v>多目的サーバ作</v>
      </c>
      <c r="E56" s="139" t="str">
        <f t="shared" si="84"/>
        <v/>
      </c>
      <c r="H56" s="131"/>
      <c r="I56" s="144"/>
      <c r="J56" s="131" t="s">
        <v>101</v>
      </c>
      <c r="K56" s="135"/>
      <c r="L56" s="136"/>
      <c r="M56" s="130"/>
      <c r="N56" s="134"/>
      <c r="O56" s="136"/>
      <c r="P56" s="136"/>
      <c r="Q56" s="136"/>
      <c r="R56" s="136"/>
      <c r="S56" s="137"/>
      <c r="T56" s="146">
        <v>41000</v>
      </c>
      <c r="U56" s="146"/>
      <c r="V56" s="129"/>
      <c r="W56" s="142" t="s">
        <v>77</v>
      </c>
      <c r="X56" s="146"/>
      <c r="Y56" s="146"/>
      <c r="Z56" s="132">
        <f t="shared" ca="1" si="85"/>
        <v>8.25</v>
      </c>
      <c r="AA56" s="143"/>
      <c r="AB56" s="140" t="str">
        <f t="shared" ca="1" si="86"/>
        <v>未着手</v>
      </c>
      <c r="AC56" s="145"/>
      <c r="AD56" s="145"/>
      <c r="AE56" s="145"/>
      <c r="AF56" s="145"/>
      <c r="AG56" s="145"/>
      <c r="AH56" s="145"/>
      <c r="AI56" s="145"/>
      <c r="AJ56" s="145"/>
      <c r="AK56" s="145"/>
      <c r="AL56" s="145"/>
      <c r="AM56" s="145"/>
      <c r="AN56" s="145"/>
      <c r="AO56" s="145"/>
      <c r="AP56" s="145"/>
      <c r="AQ56" s="145"/>
      <c r="AR56" s="145"/>
      <c r="AS56" s="145"/>
      <c r="AT56" s="145"/>
      <c r="AU56" s="145"/>
      <c r="AV56" s="145"/>
      <c r="AW56" s="145"/>
      <c r="AX56" s="145"/>
      <c r="AY56" s="145"/>
      <c r="AZ56" s="145"/>
      <c r="BA56" s="145"/>
      <c r="BB56" s="145">
        <v>0.5</v>
      </c>
      <c r="BC56" s="145">
        <v>1.5</v>
      </c>
      <c r="BD56" s="145"/>
      <c r="BE56" s="145"/>
      <c r="BF56" s="145"/>
      <c r="BG56" s="145"/>
      <c r="BH56" s="145"/>
      <c r="BI56" s="145"/>
      <c r="BJ56" s="145">
        <v>3.75</v>
      </c>
      <c r="BK56" s="145">
        <v>1.5</v>
      </c>
      <c r="BL56" s="145">
        <v>1</v>
      </c>
      <c r="BM56" s="145"/>
      <c r="BN56" s="145"/>
      <c r="BO56" s="145"/>
      <c r="BP56" s="145"/>
      <c r="BQ56" s="145"/>
      <c r="BR56" s="145"/>
      <c r="BS56" s="145"/>
      <c r="BT56" s="145"/>
      <c r="BU56" s="145"/>
      <c r="BV56" s="145"/>
      <c r="BW56" s="145"/>
      <c r="BX56" s="145"/>
      <c r="BY56" s="145"/>
      <c r="BZ56" s="145"/>
      <c r="CA56" s="145"/>
      <c r="CB56" s="145"/>
      <c r="CC56" s="145"/>
      <c r="CD56" s="145"/>
      <c r="CE56" s="145"/>
      <c r="CF56" s="145"/>
      <c r="CG56" s="145"/>
      <c r="CH56" s="145"/>
      <c r="CI56" s="145"/>
      <c r="CJ56" s="145"/>
      <c r="CK56" s="145"/>
      <c r="CL56" s="145"/>
      <c r="CM56" s="145"/>
      <c r="CN56" s="145"/>
      <c r="CO56" s="145"/>
      <c r="CP56" s="145"/>
      <c r="CQ56" s="145"/>
      <c r="CR56" s="145"/>
      <c r="CS56" s="145"/>
      <c r="CT56" s="145"/>
      <c r="CU56" s="145"/>
      <c r="CV56" s="145"/>
      <c r="CW56" s="145"/>
      <c r="CX56" s="145"/>
      <c r="CY56" s="145"/>
      <c r="CZ56" s="145"/>
      <c r="DA56" s="145"/>
      <c r="DB56" s="145"/>
      <c r="DC56" s="145"/>
      <c r="DD56" s="145"/>
      <c r="DE56" s="145"/>
      <c r="DF56" s="145"/>
      <c r="DG56" s="145"/>
      <c r="DH56" s="145"/>
      <c r="DI56" s="145"/>
      <c r="DJ56" s="145"/>
      <c r="DK56" s="145"/>
      <c r="DL56" s="145"/>
      <c r="DM56" s="145"/>
      <c r="DN56" s="145"/>
      <c r="DO56" s="145"/>
      <c r="DP56" s="145"/>
      <c r="DQ56" s="145"/>
      <c r="DR56" s="145"/>
      <c r="DS56" s="145"/>
      <c r="DT56" s="145"/>
      <c r="DU56" s="145"/>
      <c r="DV56" s="145"/>
      <c r="DW56" s="145"/>
      <c r="DX56" s="145"/>
      <c r="DY56" s="145"/>
      <c r="DZ56" s="145"/>
      <c r="EA56" s="145"/>
      <c r="EB56" s="145"/>
      <c r="EC56" s="145"/>
      <c r="ED56" s="145"/>
      <c r="EE56" s="145"/>
      <c r="EF56" s="145"/>
      <c r="EG56" s="145"/>
      <c r="EH56" s="145"/>
      <c r="EI56" s="145"/>
      <c r="EJ56" s="145"/>
      <c r="EK56" s="145"/>
      <c r="EL56" s="145"/>
      <c r="EM56" s="145"/>
      <c r="EN56" s="145"/>
      <c r="EO56" s="145"/>
      <c r="EP56" s="145"/>
      <c r="EQ56" s="145"/>
      <c r="ER56" s="145"/>
      <c r="ES56" s="145"/>
      <c r="ET56" s="145"/>
      <c r="EU56" s="145"/>
      <c r="EV56" s="145"/>
      <c r="EW56" s="145"/>
      <c r="EX56" s="145"/>
      <c r="EY56" s="145"/>
      <c r="EZ56" s="145"/>
      <c r="FA56" s="145"/>
      <c r="FB56" s="145"/>
      <c r="FC56" s="145"/>
      <c r="FD56" s="145"/>
      <c r="FE56" s="145"/>
      <c r="FF56" s="145"/>
      <c r="FG56" s="145"/>
      <c r="FH56" s="145"/>
      <c r="FI56" s="145"/>
      <c r="FJ56" s="145"/>
      <c r="FK56" s="145"/>
      <c r="FL56" s="145"/>
      <c r="FM56" s="145"/>
      <c r="FN56" s="145"/>
      <c r="FO56" s="145"/>
      <c r="FP56" s="145"/>
      <c r="FQ56" s="145"/>
      <c r="FR56" s="145"/>
      <c r="FS56" s="145"/>
      <c r="FT56" s="145"/>
      <c r="FU56" s="145"/>
      <c r="FV56" s="145"/>
      <c r="FW56" s="145"/>
      <c r="FX56" s="145"/>
      <c r="FY56" s="145"/>
      <c r="FZ56" s="145"/>
      <c r="GA56" s="145"/>
      <c r="GB56" s="141"/>
      <c r="GC56" s="141"/>
      <c r="GD56" s="141"/>
      <c r="GE56" s="141"/>
      <c r="GF56" s="141"/>
      <c r="GG56" s="141"/>
      <c r="GH56" s="141"/>
      <c r="GI56" s="141"/>
      <c r="GJ56" s="141"/>
      <c r="GK56" s="141"/>
      <c r="GL56" s="141"/>
      <c r="GM56" s="141"/>
      <c r="GN56" s="141"/>
      <c r="GO56" s="141"/>
      <c r="GP56" s="141"/>
      <c r="GQ56" s="141"/>
      <c r="GR56" s="141"/>
      <c r="GS56" s="141"/>
      <c r="GT56" s="141"/>
      <c r="GU56" s="141"/>
      <c r="GV56" s="141"/>
      <c r="GW56" s="141"/>
      <c r="GX56" s="141"/>
      <c r="GY56" s="141"/>
      <c r="GZ56" s="141"/>
      <c r="HA56" s="141"/>
      <c r="HB56" s="141"/>
      <c r="HC56" s="141"/>
    </row>
    <row r="57" spans="1:211" s="138" customFormat="1">
      <c r="A57" s="133">
        <f t="shared" si="19"/>
        <v>52</v>
      </c>
      <c r="B57" s="139" t="str">
        <f t="shared" si="84"/>
        <v/>
      </c>
      <c r="C57" s="139" t="str">
        <f t="shared" si="84"/>
        <v/>
      </c>
      <c r="D57" s="139" t="str">
        <f t="shared" si="84"/>
        <v>検索システム構</v>
      </c>
      <c r="E57" s="139" t="str">
        <f t="shared" si="84"/>
        <v/>
      </c>
      <c r="H57" s="131"/>
      <c r="I57" s="144"/>
      <c r="J57" s="131" t="s">
        <v>163</v>
      </c>
      <c r="K57" s="135"/>
      <c r="L57" s="136"/>
      <c r="M57" s="130"/>
      <c r="N57" s="134"/>
      <c r="O57" s="136"/>
      <c r="P57" s="136"/>
      <c r="Q57" s="136"/>
      <c r="R57" s="136"/>
      <c r="S57" s="137"/>
      <c r="T57" s="146">
        <v>41000</v>
      </c>
      <c r="U57" s="146"/>
      <c r="V57" s="129"/>
      <c r="W57" s="142" t="s">
        <v>77</v>
      </c>
      <c r="X57" s="146"/>
      <c r="Y57" s="146"/>
      <c r="Z57" s="132" t="str">
        <f t="shared" ca="1" si="85"/>
        <v/>
      </c>
      <c r="AA57" s="143"/>
      <c r="AB57" s="140" t="str">
        <f t="shared" ca="1" si="86"/>
        <v>未着手</v>
      </c>
      <c r="AC57" s="145"/>
      <c r="AD57" s="145"/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  <c r="AY57" s="145"/>
      <c r="AZ57" s="145"/>
      <c r="BA57" s="145"/>
      <c r="BB57" s="145"/>
      <c r="BC57" s="145"/>
      <c r="BD57" s="145"/>
      <c r="BE57" s="145"/>
      <c r="BF57" s="145"/>
      <c r="BG57" s="145"/>
      <c r="BH57" s="145"/>
      <c r="BI57" s="145"/>
      <c r="BJ57" s="145"/>
      <c r="BK57" s="145"/>
      <c r="BL57" s="145"/>
      <c r="BM57" s="145"/>
      <c r="BN57" s="145"/>
      <c r="BO57" s="145"/>
      <c r="BP57" s="145"/>
      <c r="BQ57" s="145"/>
      <c r="BR57" s="145"/>
      <c r="BS57" s="145"/>
      <c r="BT57" s="145"/>
      <c r="BU57" s="145"/>
      <c r="BV57" s="145"/>
      <c r="BW57" s="145"/>
      <c r="BX57" s="145"/>
      <c r="BY57" s="145"/>
      <c r="BZ57" s="145"/>
      <c r="CA57" s="145"/>
      <c r="CB57" s="145"/>
      <c r="CC57" s="145"/>
      <c r="CD57" s="145"/>
      <c r="CE57" s="145"/>
      <c r="CF57" s="145"/>
      <c r="CG57" s="145"/>
      <c r="CH57" s="145"/>
      <c r="CI57" s="145"/>
      <c r="CJ57" s="145"/>
      <c r="CK57" s="145"/>
      <c r="CL57" s="145"/>
      <c r="CM57" s="145"/>
      <c r="CN57" s="145"/>
      <c r="CO57" s="145"/>
      <c r="CP57" s="145"/>
      <c r="CQ57" s="145"/>
      <c r="CR57" s="145"/>
      <c r="CS57" s="145"/>
      <c r="CT57" s="145"/>
      <c r="CU57" s="145"/>
      <c r="CV57" s="145"/>
      <c r="CW57" s="145"/>
      <c r="CX57" s="145"/>
      <c r="CY57" s="145"/>
      <c r="CZ57" s="145"/>
      <c r="DA57" s="145"/>
      <c r="DB57" s="145"/>
      <c r="DC57" s="145"/>
      <c r="DD57" s="145"/>
      <c r="DE57" s="145"/>
      <c r="DF57" s="145"/>
      <c r="DG57" s="145"/>
      <c r="DH57" s="145"/>
      <c r="DI57" s="145"/>
      <c r="DJ57" s="145"/>
      <c r="DK57" s="145"/>
      <c r="DL57" s="145"/>
      <c r="DM57" s="145"/>
      <c r="DN57" s="145"/>
      <c r="DO57" s="145"/>
      <c r="DP57" s="145"/>
      <c r="DQ57" s="145"/>
      <c r="DR57" s="145"/>
      <c r="DS57" s="145"/>
      <c r="DT57" s="145"/>
      <c r="DU57" s="145"/>
      <c r="DV57" s="145"/>
      <c r="DW57" s="145"/>
      <c r="DX57" s="145"/>
      <c r="DY57" s="145"/>
      <c r="DZ57" s="145"/>
      <c r="EA57" s="145"/>
      <c r="EB57" s="145"/>
      <c r="EC57" s="145"/>
      <c r="ED57" s="145"/>
      <c r="EE57" s="145"/>
      <c r="EF57" s="145"/>
      <c r="EG57" s="145"/>
      <c r="EH57" s="145"/>
      <c r="EI57" s="145"/>
      <c r="EJ57" s="145"/>
      <c r="EK57" s="145"/>
      <c r="EL57" s="145"/>
      <c r="EM57" s="145"/>
      <c r="EN57" s="145"/>
      <c r="EO57" s="145"/>
      <c r="EP57" s="145"/>
      <c r="EQ57" s="145"/>
      <c r="ER57" s="145"/>
      <c r="ES57" s="145"/>
      <c r="ET57" s="145"/>
      <c r="EU57" s="145"/>
      <c r="EV57" s="145"/>
      <c r="EW57" s="145"/>
      <c r="EX57" s="145"/>
      <c r="EY57" s="145"/>
      <c r="EZ57" s="145"/>
      <c r="FA57" s="145"/>
      <c r="FB57" s="145"/>
      <c r="FC57" s="145"/>
      <c r="FD57" s="145"/>
      <c r="FE57" s="145"/>
      <c r="FF57" s="145"/>
      <c r="FG57" s="145"/>
      <c r="FH57" s="145"/>
      <c r="FI57" s="145"/>
      <c r="FJ57" s="145"/>
      <c r="FK57" s="145"/>
      <c r="FL57" s="145"/>
      <c r="FM57" s="145"/>
      <c r="FN57" s="145"/>
      <c r="FO57" s="145"/>
      <c r="FP57" s="145"/>
      <c r="FQ57" s="145"/>
      <c r="FR57" s="145"/>
      <c r="FS57" s="145"/>
      <c r="FT57" s="145"/>
      <c r="FU57" s="145"/>
      <c r="FV57" s="145"/>
      <c r="FW57" s="145"/>
      <c r="FX57" s="145"/>
      <c r="FY57" s="145"/>
      <c r="FZ57" s="145"/>
      <c r="GA57" s="145"/>
      <c r="GB57" s="141"/>
      <c r="GC57" s="141"/>
      <c r="GD57" s="141"/>
      <c r="GE57" s="141"/>
      <c r="GF57" s="141"/>
      <c r="GG57" s="141"/>
      <c r="GH57" s="141"/>
      <c r="GI57" s="141"/>
      <c r="GJ57" s="141"/>
      <c r="GK57" s="141"/>
      <c r="GL57" s="141"/>
      <c r="GM57" s="141"/>
      <c r="GN57" s="141"/>
      <c r="GO57" s="141"/>
      <c r="GP57" s="141"/>
      <c r="GQ57" s="141"/>
      <c r="GR57" s="141"/>
      <c r="GS57" s="141"/>
      <c r="GT57" s="141"/>
      <c r="GU57" s="141"/>
      <c r="GV57" s="141"/>
      <c r="GW57" s="141"/>
      <c r="GX57" s="141"/>
      <c r="GY57" s="141"/>
      <c r="GZ57" s="141"/>
      <c r="HA57" s="141"/>
      <c r="HB57" s="141"/>
      <c r="HC57" s="141"/>
    </row>
    <row r="58" spans="1:211" s="138" customFormat="1">
      <c r="A58" s="133">
        <f t="shared" si="19"/>
        <v>53</v>
      </c>
      <c r="B58" s="139"/>
      <c r="C58" s="139"/>
      <c r="D58" s="139" t="str">
        <f t="shared" si="84"/>
        <v>ついての全体周</v>
      </c>
      <c r="E58" s="139"/>
      <c r="H58" s="131"/>
      <c r="I58" s="144"/>
      <c r="J58" s="131" t="s">
        <v>131</v>
      </c>
      <c r="K58" s="135"/>
      <c r="L58" s="136"/>
      <c r="M58" s="130"/>
      <c r="N58" s="134"/>
      <c r="O58" s="136"/>
      <c r="P58" s="136"/>
      <c r="Q58" s="136"/>
      <c r="R58" s="136"/>
      <c r="S58" s="137"/>
      <c r="T58" s="146">
        <v>41000</v>
      </c>
      <c r="U58" s="146"/>
      <c r="V58" s="129"/>
      <c r="W58" s="142" t="s">
        <v>132</v>
      </c>
      <c r="X58" s="146"/>
      <c r="Y58" s="146"/>
      <c r="Z58" s="132">
        <f t="shared" ca="1" si="85"/>
        <v>1.5</v>
      </c>
      <c r="AA58" s="143"/>
      <c r="AB58" s="140" t="str">
        <f t="shared" ca="1" si="86"/>
        <v>未着手</v>
      </c>
      <c r="AC58" s="145">
        <v>1</v>
      </c>
      <c r="AD58" s="145"/>
      <c r="AE58" s="145"/>
      <c r="AF58" s="145"/>
      <c r="AG58" s="145"/>
      <c r="AH58" s="145"/>
      <c r="AI58" s="145"/>
      <c r="AJ58" s="145"/>
      <c r="AK58" s="145"/>
      <c r="AL58" s="145"/>
      <c r="AM58" s="145"/>
      <c r="AN58" s="145"/>
      <c r="AO58" s="145"/>
      <c r="AP58" s="145"/>
      <c r="AQ58" s="145"/>
      <c r="AR58" s="145"/>
      <c r="AS58" s="145"/>
      <c r="AT58" s="145"/>
      <c r="AU58" s="145"/>
      <c r="AV58" s="145"/>
      <c r="AW58" s="145"/>
      <c r="AX58" s="145"/>
      <c r="AY58" s="145"/>
      <c r="AZ58" s="145"/>
      <c r="BA58" s="145">
        <v>0.5</v>
      </c>
      <c r="BB58" s="145"/>
      <c r="BC58" s="145"/>
      <c r="BD58" s="145"/>
      <c r="BE58" s="145"/>
      <c r="BF58" s="145"/>
      <c r="BG58" s="145"/>
      <c r="BH58" s="145"/>
      <c r="BI58" s="145"/>
      <c r="BJ58" s="145"/>
      <c r="BK58" s="145"/>
      <c r="BL58" s="145"/>
      <c r="BM58" s="145"/>
      <c r="BN58" s="145"/>
      <c r="BO58" s="145"/>
      <c r="BP58" s="145"/>
      <c r="BQ58" s="145"/>
      <c r="BR58" s="145"/>
      <c r="BS58" s="145"/>
      <c r="BT58" s="145"/>
      <c r="BU58" s="145"/>
      <c r="BV58" s="145"/>
      <c r="BW58" s="145"/>
      <c r="BX58" s="145"/>
      <c r="BY58" s="145"/>
      <c r="BZ58" s="145"/>
      <c r="CA58" s="145"/>
      <c r="CB58" s="145"/>
      <c r="CC58" s="145"/>
      <c r="CD58" s="145"/>
      <c r="CE58" s="145"/>
      <c r="CF58" s="145"/>
      <c r="CG58" s="145"/>
      <c r="CH58" s="145"/>
      <c r="CI58" s="145"/>
      <c r="CJ58" s="145"/>
      <c r="CK58" s="145"/>
      <c r="CL58" s="145"/>
      <c r="CM58" s="145"/>
      <c r="CN58" s="145"/>
      <c r="CO58" s="145"/>
      <c r="CP58" s="145"/>
      <c r="CQ58" s="145"/>
      <c r="CR58" s="145"/>
      <c r="CS58" s="145"/>
      <c r="CT58" s="145"/>
      <c r="CU58" s="145"/>
      <c r="CV58" s="145"/>
      <c r="CW58" s="145"/>
      <c r="CX58" s="145"/>
      <c r="CY58" s="145"/>
      <c r="CZ58" s="145"/>
      <c r="DA58" s="145"/>
      <c r="DB58" s="145"/>
      <c r="DC58" s="145"/>
      <c r="DD58" s="145"/>
      <c r="DE58" s="145"/>
      <c r="DF58" s="145"/>
      <c r="DG58" s="145"/>
      <c r="DH58" s="145"/>
      <c r="DI58" s="145"/>
      <c r="DJ58" s="145"/>
      <c r="DK58" s="145"/>
      <c r="DL58" s="145"/>
      <c r="DM58" s="145"/>
      <c r="DN58" s="145"/>
      <c r="DO58" s="145"/>
      <c r="DP58" s="145"/>
      <c r="DQ58" s="145"/>
      <c r="DR58" s="145"/>
      <c r="DS58" s="145"/>
      <c r="DT58" s="145"/>
      <c r="DU58" s="145"/>
      <c r="DV58" s="145"/>
      <c r="DW58" s="145"/>
      <c r="DX58" s="145"/>
      <c r="DY58" s="145"/>
      <c r="DZ58" s="145"/>
      <c r="EA58" s="145"/>
      <c r="EB58" s="145"/>
      <c r="EC58" s="145"/>
      <c r="ED58" s="145"/>
      <c r="EE58" s="145"/>
      <c r="EF58" s="145"/>
      <c r="EG58" s="145"/>
      <c r="EH58" s="145"/>
      <c r="EI58" s="145"/>
      <c r="EJ58" s="145"/>
      <c r="EK58" s="145"/>
      <c r="EL58" s="145"/>
      <c r="EM58" s="145"/>
      <c r="EN58" s="145"/>
      <c r="EO58" s="145"/>
      <c r="EP58" s="145"/>
      <c r="EQ58" s="145"/>
      <c r="ER58" s="145"/>
      <c r="ES58" s="145"/>
      <c r="ET58" s="145"/>
      <c r="EU58" s="145"/>
      <c r="EV58" s="145"/>
      <c r="EW58" s="145"/>
      <c r="EX58" s="145"/>
      <c r="EY58" s="145"/>
      <c r="EZ58" s="145"/>
      <c r="FA58" s="145"/>
      <c r="FB58" s="145"/>
      <c r="FC58" s="145"/>
      <c r="FD58" s="145"/>
      <c r="FE58" s="145"/>
      <c r="FF58" s="145"/>
      <c r="FG58" s="145"/>
      <c r="FH58" s="145"/>
      <c r="FI58" s="145"/>
      <c r="FJ58" s="145"/>
      <c r="FK58" s="145"/>
      <c r="FL58" s="145"/>
      <c r="FM58" s="145"/>
      <c r="FN58" s="145"/>
      <c r="FO58" s="145"/>
      <c r="FP58" s="145"/>
      <c r="FQ58" s="145"/>
      <c r="FR58" s="145"/>
      <c r="FS58" s="145"/>
      <c r="FT58" s="145"/>
      <c r="FU58" s="145"/>
      <c r="FV58" s="145"/>
      <c r="FW58" s="145"/>
      <c r="FX58" s="145"/>
      <c r="FY58" s="145"/>
      <c r="FZ58" s="145"/>
      <c r="GA58" s="145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  <c r="GQ58" s="141"/>
      <c r="GR58" s="141"/>
      <c r="GS58" s="141"/>
      <c r="GT58" s="141"/>
      <c r="GU58" s="141"/>
      <c r="GV58" s="141"/>
      <c r="GW58" s="141"/>
      <c r="GX58" s="141"/>
      <c r="GY58" s="141"/>
      <c r="GZ58" s="141"/>
      <c r="HA58" s="141"/>
      <c r="HB58" s="141"/>
      <c r="HC58" s="141"/>
    </row>
    <row r="59" spans="1:211" s="138" customFormat="1">
      <c r="A59" s="133">
        <f t="shared" si="19"/>
        <v>54</v>
      </c>
      <c r="B59" s="139" t="str">
        <f t="shared" si="84"/>
        <v/>
      </c>
      <c r="C59" s="139" t="str">
        <f t="shared" si="84"/>
        <v/>
      </c>
      <c r="D59" s="139" t="str">
        <f t="shared" si="84"/>
        <v>ット・無名対応</v>
      </c>
      <c r="E59" s="139" t="str">
        <f t="shared" si="84"/>
        <v/>
      </c>
      <c r="H59" s="131"/>
      <c r="I59" s="144"/>
      <c r="J59" s="131" t="s">
        <v>98</v>
      </c>
      <c r="K59" s="135"/>
      <c r="L59" s="136"/>
      <c r="M59" s="130"/>
      <c r="N59" s="134"/>
      <c r="O59" s="136"/>
      <c r="P59" s="136"/>
      <c r="Q59" s="136"/>
      <c r="R59" s="136"/>
      <c r="S59" s="137"/>
      <c r="T59" s="146">
        <v>41000</v>
      </c>
      <c r="U59" s="146"/>
      <c r="V59" s="129"/>
      <c r="W59" s="142" t="s">
        <v>79</v>
      </c>
      <c r="X59" s="146"/>
      <c r="Y59" s="146"/>
      <c r="Z59" s="132" t="str">
        <f t="shared" ca="1" si="85"/>
        <v/>
      </c>
      <c r="AA59" s="143"/>
      <c r="AB59" s="140" t="str">
        <f t="shared" ca="1" si="86"/>
        <v>未着手</v>
      </c>
      <c r="AC59" s="145"/>
      <c r="AD59" s="145"/>
      <c r="AE59" s="145"/>
      <c r="AF59" s="145"/>
      <c r="AG59" s="145"/>
      <c r="AH59" s="145"/>
      <c r="AI59" s="145"/>
      <c r="AJ59" s="145"/>
      <c r="AK59" s="145"/>
      <c r="AL59" s="145"/>
      <c r="AM59" s="145"/>
      <c r="AN59" s="145"/>
      <c r="AO59" s="145"/>
      <c r="AP59" s="145"/>
      <c r="AQ59" s="145"/>
      <c r="AR59" s="145"/>
      <c r="AS59" s="145"/>
      <c r="AT59" s="145"/>
      <c r="AU59" s="145"/>
      <c r="AV59" s="145"/>
      <c r="AW59" s="145"/>
      <c r="AX59" s="145"/>
      <c r="AY59" s="145"/>
      <c r="AZ59" s="145"/>
      <c r="BA59" s="145"/>
      <c r="BB59" s="145"/>
      <c r="BC59" s="145"/>
      <c r="BD59" s="145"/>
      <c r="BE59" s="145"/>
      <c r="BF59" s="145"/>
      <c r="BG59" s="145"/>
      <c r="BH59" s="145"/>
      <c r="BI59" s="145"/>
      <c r="BJ59" s="145"/>
      <c r="BK59" s="145"/>
      <c r="BL59" s="145"/>
      <c r="BM59" s="145"/>
      <c r="BN59" s="145"/>
      <c r="BO59" s="145"/>
      <c r="BP59" s="145"/>
      <c r="BQ59" s="145"/>
      <c r="BR59" s="145"/>
      <c r="BS59" s="145"/>
      <c r="BT59" s="145"/>
      <c r="BU59" s="145"/>
      <c r="BV59" s="145"/>
      <c r="BW59" s="145"/>
      <c r="BX59" s="145"/>
      <c r="BY59" s="145"/>
      <c r="BZ59" s="145"/>
      <c r="CA59" s="145"/>
      <c r="CB59" s="145"/>
      <c r="CC59" s="145"/>
      <c r="CD59" s="145"/>
      <c r="CE59" s="145"/>
      <c r="CF59" s="145"/>
      <c r="CG59" s="145"/>
      <c r="CH59" s="145"/>
      <c r="CI59" s="145"/>
      <c r="CJ59" s="145"/>
      <c r="CK59" s="145"/>
      <c r="CL59" s="145"/>
      <c r="CM59" s="145"/>
      <c r="CN59" s="145"/>
      <c r="CO59" s="145"/>
      <c r="CP59" s="145"/>
      <c r="CQ59" s="145"/>
      <c r="CR59" s="145"/>
      <c r="CS59" s="145"/>
      <c r="CT59" s="145"/>
      <c r="CU59" s="145"/>
      <c r="CV59" s="145"/>
      <c r="CW59" s="145"/>
      <c r="CX59" s="145"/>
      <c r="CY59" s="145"/>
      <c r="CZ59" s="145"/>
      <c r="DA59" s="145"/>
      <c r="DB59" s="145"/>
      <c r="DC59" s="145"/>
      <c r="DD59" s="145"/>
      <c r="DE59" s="145"/>
      <c r="DF59" s="145"/>
      <c r="DG59" s="145"/>
      <c r="DH59" s="145"/>
      <c r="DI59" s="145"/>
      <c r="DJ59" s="145"/>
      <c r="DK59" s="145"/>
      <c r="DL59" s="145"/>
      <c r="DM59" s="145"/>
      <c r="DN59" s="145"/>
      <c r="DO59" s="145"/>
      <c r="DP59" s="145"/>
      <c r="DQ59" s="145"/>
      <c r="DR59" s="145"/>
      <c r="DS59" s="145"/>
      <c r="DT59" s="145"/>
      <c r="DU59" s="145"/>
      <c r="DV59" s="145"/>
      <c r="DW59" s="145"/>
      <c r="DX59" s="145"/>
      <c r="DY59" s="145"/>
      <c r="DZ59" s="145"/>
      <c r="EA59" s="145"/>
      <c r="EB59" s="145"/>
      <c r="EC59" s="145"/>
      <c r="ED59" s="145"/>
      <c r="EE59" s="145"/>
      <c r="EF59" s="145"/>
      <c r="EG59" s="145"/>
      <c r="EH59" s="145"/>
      <c r="EI59" s="145"/>
      <c r="EJ59" s="145"/>
      <c r="EK59" s="145"/>
      <c r="EL59" s="145"/>
      <c r="EM59" s="145"/>
      <c r="EN59" s="145"/>
      <c r="EO59" s="145"/>
      <c r="EP59" s="145"/>
      <c r="EQ59" s="145"/>
      <c r="ER59" s="145"/>
      <c r="ES59" s="145"/>
      <c r="ET59" s="145"/>
      <c r="EU59" s="145"/>
      <c r="EV59" s="145"/>
      <c r="EW59" s="145"/>
      <c r="EX59" s="145"/>
      <c r="EY59" s="145"/>
      <c r="EZ59" s="145"/>
      <c r="FA59" s="145"/>
      <c r="FB59" s="145"/>
      <c r="FC59" s="145"/>
      <c r="FD59" s="145"/>
      <c r="FE59" s="145"/>
      <c r="FF59" s="145"/>
      <c r="FG59" s="145"/>
      <c r="FH59" s="145"/>
      <c r="FI59" s="145"/>
      <c r="FJ59" s="145"/>
      <c r="FK59" s="145"/>
      <c r="FL59" s="145"/>
      <c r="FM59" s="145"/>
      <c r="FN59" s="145"/>
      <c r="FO59" s="145"/>
      <c r="FP59" s="145"/>
      <c r="FQ59" s="145"/>
      <c r="FR59" s="145"/>
      <c r="FS59" s="145"/>
      <c r="FT59" s="145"/>
      <c r="FU59" s="145"/>
      <c r="FV59" s="145"/>
      <c r="FW59" s="145"/>
      <c r="FX59" s="145"/>
      <c r="FY59" s="145"/>
      <c r="FZ59" s="145"/>
      <c r="GA59" s="145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  <c r="GQ59" s="141"/>
      <c r="GR59" s="141"/>
      <c r="GS59" s="141"/>
      <c r="GT59" s="141"/>
      <c r="GU59" s="141"/>
      <c r="GV59" s="141"/>
      <c r="GW59" s="141"/>
      <c r="GX59" s="141"/>
      <c r="GY59" s="141"/>
      <c r="GZ59" s="141"/>
      <c r="HA59" s="141"/>
      <c r="HB59" s="141"/>
      <c r="HC59" s="141"/>
    </row>
    <row r="60" spans="1:211" s="111" customFormat="1">
      <c r="A60" s="109">
        <f t="shared" si="19"/>
        <v>55</v>
      </c>
      <c r="B60" s="110" t="str">
        <f>MID(RIGHT(G60,8),1,7)</f>
        <v/>
      </c>
      <c r="C60" s="110" t="str">
        <f>MID(RIGHT(H60,8),1,7)</f>
        <v/>
      </c>
      <c r="D60" s="110" t="str">
        <f>MID(RIGHT(I60,8),1,7)</f>
        <v>BL業務改善</v>
      </c>
      <c r="E60" s="110" t="str">
        <f>MID(RIGHT(J60,8),1,7)</f>
        <v/>
      </c>
      <c r="H60" s="112"/>
      <c r="I60" s="127" t="s">
        <v>145</v>
      </c>
      <c r="J60" s="113"/>
      <c r="K60" s="114"/>
      <c r="L60" s="115"/>
      <c r="M60" s="116"/>
      <c r="N60" s="117"/>
      <c r="O60" s="115"/>
      <c r="P60" s="115"/>
      <c r="Q60" s="115"/>
      <c r="R60" s="115"/>
      <c r="S60" s="118"/>
      <c r="T60" s="119"/>
      <c r="U60" s="119"/>
      <c r="V60" s="120"/>
      <c r="W60" s="121"/>
      <c r="X60" s="119"/>
      <c r="Y60" s="119"/>
      <c r="Z60" s="122">
        <f ca="1">SUM(Z61:Z67)</f>
        <v>201</v>
      </c>
      <c r="AA60" s="128"/>
      <c r="AB60" s="123"/>
      <c r="AC60" s="124"/>
      <c r="AD60" s="124"/>
      <c r="AE60" s="124"/>
      <c r="AF60" s="124"/>
      <c r="AG60" s="124"/>
      <c r="AH60" s="125"/>
      <c r="AI60" s="125"/>
      <c r="AJ60" s="125"/>
      <c r="AK60" s="125"/>
      <c r="AL60" s="124"/>
      <c r="AM60" s="124"/>
      <c r="AN60" s="125"/>
      <c r="AO60" s="125"/>
      <c r="AP60" s="125"/>
      <c r="AQ60" s="125"/>
      <c r="AR60" s="124"/>
      <c r="AS60" s="124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4"/>
      <c r="BG60" s="124"/>
      <c r="BH60" s="124"/>
      <c r="BI60" s="124"/>
      <c r="BJ60" s="124"/>
      <c r="BK60" s="124"/>
      <c r="BL60" s="124"/>
      <c r="BM60" s="124"/>
      <c r="BN60" s="124"/>
      <c r="BO60" s="124"/>
      <c r="BP60" s="124"/>
      <c r="BQ60" s="124"/>
      <c r="BR60" s="124"/>
      <c r="BS60" s="124"/>
      <c r="BT60" s="124"/>
      <c r="BU60" s="124"/>
      <c r="BV60" s="124"/>
      <c r="BW60" s="124"/>
      <c r="BX60" s="124"/>
      <c r="BY60" s="124"/>
      <c r="BZ60" s="124"/>
      <c r="CA60" s="124"/>
      <c r="CB60" s="124"/>
      <c r="CC60" s="124"/>
      <c r="CD60" s="124"/>
      <c r="CE60" s="124"/>
      <c r="CF60" s="124"/>
      <c r="CG60" s="124"/>
      <c r="CH60" s="124"/>
      <c r="CI60" s="124"/>
      <c r="CJ60" s="124"/>
      <c r="CK60" s="124"/>
      <c r="CL60" s="124"/>
      <c r="CM60" s="124"/>
      <c r="CN60" s="124"/>
      <c r="CO60" s="124"/>
      <c r="CP60" s="124"/>
      <c r="CQ60" s="124"/>
      <c r="CR60" s="124"/>
      <c r="CS60" s="124"/>
      <c r="CT60" s="124"/>
      <c r="CU60" s="124"/>
      <c r="CV60" s="124"/>
      <c r="CW60" s="124"/>
      <c r="CX60" s="124"/>
      <c r="CY60" s="124"/>
      <c r="CZ60" s="124"/>
      <c r="DA60" s="124"/>
      <c r="DB60" s="124"/>
      <c r="DC60" s="124"/>
      <c r="DD60" s="124"/>
      <c r="DE60" s="124"/>
      <c r="DF60" s="124"/>
      <c r="DG60" s="124"/>
      <c r="DH60" s="124"/>
      <c r="DI60" s="124"/>
      <c r="DJ60" s="124"/>
      <c r="DK60" s="124"/>
      <c r="DL60" s="124"/>
      <c r="DM60" s="124"/>
      <c r="DN60" s="124"/>
      <c r="DO60" s="124"/>
      <c r="DP60" s="124"/>
      <c r="DQ60" s="124"/>
      <c r="DR60" s="124"/>
      <c r="DS60" s="124"/>
      <c r="DT60" s="124"/>
      <c r="DU60" s="124"/>
      <c r="DV60" s="124"/>
      <c r="DW60" s="124"/>
      <c r="DX60" s="124"/>
      <c r="DY60" s="124"/>
      <c r="DZ60" s="124"/>
      <c r="EA60" s="124"/>
      <c r="EB60" s="124"/>
      <c r="EC60" s="124"/>
      <c r="ED60" s="124"/>
      <c r="EE60" s="124"/>
      <c r="EF60" s="124"/>
      <c r="EG60" s="124"/>
      <c r="EH60" s="124"/>
      <c r="EI60" s="124"/>
      <c r="EJ60" s="124"/>
      <c r="EK60" s="124"/>
      <c r="EL60" s="124"/>
      <c r="EM60" s="124"/>
      <c r="EN60" s="124"/>
      <c r="EO60" s="124"/>
      <c r="EP60" s="124"/>
      <c r="EQ60" s="124"/>
      <c r="ER60" s="124"/>
      <c r="ES60" s="124"/>
      <c r="ET60" s="124"/>
      <c r="EU60" s="124"/>
      <c r="EV60" s="124"/>
      <c r="EW60" s="124"/>
      <c r="EX60" s="124"/>
      <c r="EY60" s="124"/>
      <c r="EZ60" s="124"/>
      <c r="FA60" s="124"/>
      <c r="FB60" s="124"/>
      <c r="FC60" s="124"/>
      <c r="FD60" s="124"/>
      <c r="FE60" s="124"/>
      <c r="FF60" s="124"/>
      <c r="FG60" s="124"/>
      <c r="FH60" s="124"/>
      <c r="FI60" s="124"/>
      <c r="FJ60" s="124"/>
      <c r="FK60" s="124"/>
      <c r="FL60" s="124"/>
      <c r="FM60" s="124"/>
      <c r="FN60" s="124"/>
      <c r="FO60" s="124"/>
      <c r="FP60" s="124"/>
      <c r="FQ60" s="124"/>
      <c r="FR60" s="124"/>
      <c r="FS60" s="124"/>
      <c r="FT60" s="124"/>
      <c r="FU60" s="124"/>
      <c r="FV60" s="124"/>
      <c r="FW60" s="124"/>
      <c r="FX60" s="124"/>
      <c r="FY60" s="124"/>
      <c r="FZ60" s="124"/>
      <c r="GA60" s="124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</row>
    <row r="61" spans="1:211" s="138" customFormat="1">
      <c r="A61" s="133">
        <f t="shared" si="19"/>
        <v>56</v>
      </c>
      <c r="B61" s="139" t="str">
        <f t="shared" ref="B61:E65" si="97">MID(RIGHT(H61,8),1,7)</f>
        <v/>
      </c>
      <c r="C61" s="139" t="str">
        <f t="shared" si="97"/>
        <v/>
      </c>
      <c r="D61" s="139" t="str">
        <f t="shared" si="97"/>
        <v>・本番コピー改</v>
      </c>
      <c r="E61" s="139" t="str">
        <f t="shared" si="97"/>
        <v/>
      </c>
      <c r="H61" s="131"/>
      <c r="I61" s="144"/>
      <c r="J61" s="131" t="s">
        <v>138</v>
      </c>
      <c r="K61" s="135"/>
      <c r="L61" s="136"/>
      <c r="M61" s="130"/>
      <c r="N61" s="134"/>
      <c r="O61" s="136"/>
      <c r="P61" s="136"/>
      <c r="Q61" s="136"/>
      <c r="R61" s="136"/>
      <c r="S61" s="137"/>
      <c r="T61" s="146">
        <v>41000</v>
      </c>
      <c r="U61" s="146"/>
      <c r="V61" s="129"/>
      <c r="W61" s="142" t="s">
        <v>77</v>
      </c>
      <c r="X61" s="146"/>
      <c r="Y61" s="146"/>
      <c r="Z61" s="132">
        <f ca="1">IF(SUM(AB61:HC61)=0,"",  SUM(AB61:HC61))</f>
        <v>20.5</v>
      </c>
      <c r="AA61" s="143"/>
      <c r="AB61" s="140" t="str">
        <f ca="1">IF($T61="","",IF($X61="",IF($T61&lt;TODAY(),"未着手","予定"),IF($Y61="",IF($U61&lt;TODAY(),"遅延","仕掛"),"完了")))</f>
        <v>未着手</v>
      </c>
      <c r="AC61" s="145"/>
      <c r="AD61" s="145"/>
      <c r="AE61" s="145">
        <v>7.75</v>
      </c>
      <c r="AF61" s="145">
        <v>1.5</v>
      </c>
      <c r="AG61" s="145"/>
      <c r="AH61" s="145"/>
      <c r="AI61" s="145"/>
      <c r="AJ61" s="145">
        <v>0.75</v>
      </c>
      <c r="AK61" s="145"/>
      <c r="AL61" s="145">
        <v>2</v>
      </c>
      <c r="AM61" s="145"/>
      <c r="AN61" s="145"/>
      <c r="AO61" s="145"/>
      <c r="AP61" s="145"/>
      <c r="AQ61" s="145"/>
      <c r="AR61" s="145"/>
      <c r="AS61" s="145">
        <v>3.5</v>
      </c>
      <c r="AT61" s="145"/>
      <c r="AU61" s="145"/>
      <c r="AV61" s="145"/>
      <c r="AW61" s="145"/>
      <c r="AX61" s="145"/>
      <c r="AY61" s="145">
        <v>3.5</v>
      </c>
      <c r="AZ61" s="145"/>
      <c r="BA61" s="145"/>
      <c r="BB61" s="145"/>
      <c r="BC61" s="145"/>
      <c r="BD61" s="145"/>
      <c r="BE61" s="145"/>
      <c r="BF61" s="145"/>
      <c r="BG61" s="145"/>
      <c r="BH61" s="145"/>
      <c r="BI61" s="145"/>
      <c r="BJ61" s="145"/>
      <c r="BK61" s="145">
        <v>1.5</v>
      </c>
      <c r="BL61" s="145"/>
      <c r="BM61" s="145"/>
      <c r="BN61" s="145"/>
      <c r="BO61" s="145"/>
      <c r="BP61" s="145"/>
      <c r="BQ61" s="145"/>
      <c r="BR61" s="145"/>
      <c r="BS61" s="145"/>
      <c r="BT61" s="145"/>
      <c r="BU61" s="145"/>
      <c r="BV61" s="145"/>
      <c r="BW61" s="145"/>
      <c r="BX61" s="145"/>
      <c r="BY61" s="145"/>
      <c r="BZ61" s="145"/>
      <c r="CA61" s="145"/>
      <c r="CB61" s="145"/>
      <c r="CC61" s="145"/>
      <c r="CD61" s="145"/>
      <c r="CE61" s="145"/>
      <c r="CF61" s="145"/>
      <c r="CG61" s="145"/>
      <c r="CH61" s="145"/>
      <c r="CI61" s="145"/>
      <c r="CJ61" s="145"/>
      <c r="CK61" s="145"/>
      <c r="CL61" s="145"/>
      <c r="CM61" s="145"/>
      <c r="CN61" s="145"/>
      <c r="CO61" s="145"/>
      <c r="CP61" s="145"/>
      <c r="CQ61" s="145"/>
      <c r="CR61" s="145"/>
      <c r="CS61" s="145"/>
      <c r="CT61" s="145"/>
      <c r="CU61" s="145"/>
      <c r="CV61" s="145"/>
      <c r="CW61" s="145"/>
      <c r="CX61" s="145"/>
      <c r="CY61" s="145"/>
      <c r="CZ61" s="145"/>
      <c r="DA61" s="145"/>
      <c r="DB61" s="145"/>
      <c r="DC61" s="145"/>
      <c r="DD61" s="145"/>
      <c r="DE61" s="145"/>
      <c r="DF61" s="145"/>
      <c r="DG61" s="145"/>
      <c r="DH61" s="145"/>
      <c r="DI61" s="145"/>
      <c r="DJ61" s="145"/>
      <c r="DK61" s="145"/>
      <c r="DL61" s="145"/>
      <c r="DM61" s="145"/>
      <c r="DN61" s="145"/>
      <c r="DO61" s="145"/>
      <c r="DP61" s="145"/>
      <c r="DQ61" s="145"/>
      <c r="DR61" s="145"/>
      <c r="DS61" s="145"/>
      <c r="DT61" s="145"/>
      <c r="DU61" s="145"/>
      <c r="DV61" s="145"/>
      <c r="DW61" s="145"/>
      <c r="DX61" s="145"/>
      <c r="DY61" s="145"/>
      <c r="DZ61" s="145"/>
      <c r="EA61" s="145"/>
      <c r="EB61" s="145"/>
      <c r="EC61" s="145"/>
      <c r="ED61" s="145"/>
      <c r="EE61" s="145"/>
      <c r="EF61" s="145"/>
      <c r="EG61" s="145"/>
      <c r="EH61" s="145"/>
      <c r="EI61" s="145"/>
      <c r="EJ61" s="145"/>
      <c r="EK61" s="145"/>
      <c r="EL61" s="145"/>
      <c r="EM61" s="145"/>
      <c r="EN61" s="145"/>
      <c r="EO61" s="145"/>
      <c r="EP61" s="145"/>
      <c r="EQ61" s="145"/>
      <c r="ER61" s="145"/>
      <c r="ES61" s="145"/>
      <c r="ET61" s="145"/>
      <c r="EU61" s="145"/>
      <c r="EV61" s="145"/>
      <c r="EW61" s="145"/>
      <c r="EX61" s="145"/>
      <c r="EY61" s="145"/>
      <c r="EZ61" s="145"/>
      <c r="FA61" s="145"/>
      <c r="FB61" s="145"/>
      <c r="FC61" s="145"/>
      <c r="FD61" s="145"/>
      <c r="FE61" s="145"/>
      <c r="FF61" s="145"/>
      <c r="FG61" s="145"/>
      <c r="FH61" s="145"/>
      <c r="FI61" s="145"/>
      <c r="FJ61" s="145"/>
      <c r="FK61" s="145"/>
      <c r="FL61" s="145"/>
      <c r="FM61" s="145"/>
      <c r="FN61" s="145"/>
      <c r="FO61" s="145"/>
      <c r="FP61" s="145"/>
      <c r="FQ61" s="145"/>
      <c r="FR61" s="145"/>
      <c r="FS61" s="145"/>
      <c r="FT61" s="145"/>
      <c r="FU61" s="145"/>
      <c r="FV61" s="145"/>
      <c r="FW61" s="145"/>
      <c r="FX61" s="145"/>
      <c r="FY61" s="145"/>
      <c r="FZ61" s="145"/>
      <c r="GA61" s="145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  <c r="GQ61" s="141"/>
      <c r="GR61" s="141"/>
      <c r="GS61" s="141"/>
      <c r="GT61" s="141"/>
      <c r="GU61" s="141"/>
      <c r="GV61" s="141"/>
      <c r="GW61" s="141"/>
      <c r="GX61" s="141"/>
      <c r="GY61" s="141"/>
      <c r="GZ61" s="141"/>
      <c r="HA61" s="141"/>
      <c r="HB61" s="141"/>
      <c r="HC61" s="141"/>
    </row>
    <row r="62" spans="1:211" s="138" customFormat="1">
      <c r="A62" s="133">
        <f t="shared" si="19"/>
        <v>57</v>
      </c>
      <c r="B62" s="139" t="str">
        <f t="shared" ref="B62" si="98">MID(RIGHT(H62,8),1,7)</f>
        <v/>
      </c>
      <c r="C62" s="139" t="str">
        <f t="shared" ref="C62" si="99">MID(RIGHT(I62,8),1,7)</f>
        <v/>
      </c>
      <c r="D62" s="139" t="str">
        <f t="shared" ref="D62" si="100">MID(RIGHT(J62,8),1,7)</f>
        <v>Sの再作成＆改</v>
      </c>
      <c r="E62" s="139" t="str">
        <f t="shared" ref="E62" si="101">MID(RIGHT(K62,8),1,7)</f>
        <v/>
      </c>
      <c r="H62" s="131"/>
      <c r="I62" s="144"/>
      <c r="J62" s="131" t="s">
        <v>135</v>
      </c>
      <c r="K62" s="135"/>
      <c r="L62" s="136"/>
      <c r="M62" s="130"/>
      <c r="N62" s="134"/>
      <c r="O62" s="136"/>
      <c r="P62" s="136"/>
      <c r="Q62" s="136"/>
      <c r="R62" s="136"/>
      <c r="S62" s="137"/>
      <c r="T62" s="146">
        <v>41002</v>
      </c>
      <c r="U62" s="146"/>
      <c r="V62" s="129"/>
      <c r="W62" s="142" t="s">
        <v>77</v>
      </c>
      <c r="X62" s="146">
        <v>41002</v>
      </c>
      <c r="Y62" s="146"/>
      <c r="Z62" s="132">
        <f ca="1">IF(SUM(AB62:HC62)=0,"",  SUM(AB62:HC62))</f>
        <v>7</v>
      </c>
      <c r="AA62" s="143"/>
      <c r="AB62" s="140" t="str">
        <f ca="1">IF($T62="","",IF($X62="",IF($T62&lt;TODAY(),"未着手","予定"),IF($Y62="",IF($U62&lt;TODAY(),"遅延","仕掛"),"完了")))</f>
        <v>遅延</v>
      </c>
      <c r="AC62" s="145"/>
      <c r="AD62" s="145">
        <v>7</v>
      </c>
      <c r="AE62" s="145"/>
      <c r="AF62" s="145"/>
      <c r="AG62" s="145"/>
      <c r="AH62" s="145"/>
      <c r="AI62" s="145"/>
      <c r="AJ62" s="145"/>
      <c r="AK62" s="145"/>
      <c r="AL62" s="145"/>
      <c r="AM62" s="145"/>
      <c r="AN62" s="145"/>
      <c r="AO62" s="145"/>
      <c r="AP62" s="145"/>
      <c r="AQ62" s="145"/>
      <c r="AR62" s="145"/>
      <c r="AS62" s="145"/>
      <c r="AT62" s="145"/>
      <c r="AU62" s="145"/>
      <c r="AV62" s="145"/>
      <c r="AW62" s="145"/>
      <c r="AX62" s="145"/>
      <c r="AY62" s="145"/>
      <c r="AZ62" s="145"/>
      <c r="BA62" s="145"/>
      <c r="BB62" s="145"/>
      <c r="BC62" s="145"/>
      <c r="BD62" s="145"/>
      <c r="BE62" s="145"/>
      <c r="BF62" s="145"/>
      <c r="BG62" s="145"/>
      <c r="BH62" s="145"/>
      <c r="BI62" s="145"/>
      <c r="BJ62" s="145"/>
      <c r="BK62" s="145"/>
      <c r="BL62" s="145"/>
      <c r="BM62" s="145"/>
      <c r="BN62" s="145"/>
      <c r="BO62" s="145"/>
      <c r="BP62" s="145"/>
      <c r="BQ62" s="145"/>
      <c r="BR62" s="145"/>
      <c r="BS62" s="145"/>
      <c r="BT62" s="145"/>
      <c r="BU62" s="145"/>
      <c r="BV62" s="145"/>
      <c r="BW62" s="145"/>
      <c r="BX62" s="145"/>
      <c r="BY62" s="145"/>
      <c r="BZ62" s="145"/>
      <c r="CA62" s="145"/>
      <c r="CB62" s="145"/>
      <c r="CC62" s="145"/>
      <c r="CD62" s="145"/>
      <c r="CE62" s="145"/>
      <c r="CF62" s="145"/>
      <c r="CG62" s="145"/>
      <c r="CH62" s="145"/>
      <c r="CI62" s="145"/>
      <c r="CJ62" s="145"/>
      <c r="CK62" s="145"/>
      <c r="CL62" s="145"/>
      <c r="CM62" s="145"/>
      <c r="CN62" s="145"/>
      <c r="CO62" s="145"/>
      <c r="CP62" s="145"/>
      <c r="CQ62" s="145"/>
      <c r="CR62" s="145"/>
      <c r="CS62" s="145"/>
      <c r="CT62" s="145"/>
      <c r="CU62" s="145"/>
      <c r="CV62" s="145"/>
      <c r="CW62" s="145"/>
      <c r="CX62" s="145"/>
      <c r="CY62" s="145"/>
      <c r="CZ62" s="145"/>
      <c r="DA62" s="145"/>
      <c r="DB62" s="145"/>
      <c r="DC62" s="145"/>
      <c r="DD62" s="145"/>
      <c r="DE62" s="145"/>
      <c r="DF62" s="145"/>
      <c r="DG62" s="145"/>
      <c r="DH62" s="145"/>
      <c r="DI62" s="145"/>
      <c r="DJ62" s="145"/>
      <c r="DK62" s="145"/>
      <c r="DL62" s="145"/>
      <c r="DM62" s="145"/>
      <c r="DN62" s="145"/>
      <c r="DO62" s="145"/>
      <c r="DP62" s="145"/>
      <c r="DQ62" s="145"/>
      <c r="DR62" s="145"/>
      <c r="DS62" s="145"/>
      <c r="DT62" s="145"/>
      <c r="DU62" s="145"/>
      <c r="DV62" s="145"/>
      <c r="DW62" s="145"/>
      <c r="DX62" s="145"/>
      <c r="DY62" s="145"/>
      <c r="DZ62" s="145"/>
      <c r="EA62" s="145"/>
      <c r="EB62" s="145"/>
      <c r="EC62" s="145"/>
      <c r="ED62" s="145"/>
      <c r="EE62" s="145"/>
      <c r="EF62" s="145"/>
      <c r="EG62" s="145"/>
      <c r="EH62" s="145"/>
      <c r="EI62" s="145"/>
      <c r="EJ62" s="145"/>
      <c r="EK62" s="145"/>
      <c r="EL62" s="145"/>
      <c r="EM62" s="145"/>
      <c r="EN62" s="145"/>
      <c r="EO62" s="145"/>
      <c r="EP62" s="145"/>
      <c r="EQ62" s="145"/>
      <c r="ER62" s="145"/>
      <c r="ES62" s="145"/>
      <c r="ET62" s="145"/>
      <c r="EU62" s="145"/>
      <c r="EV62" s="145"/>
      <c r="EW62" s="145"/>
      <c r="EX62" s="145"/>
      <c r="EY62" s="145"/>
      <c r="EZ62" s="145"/>
      <c r="FA62" s="145"/>
      <c r="FB62" s="145"/>
      <c r="FC62" s="145"/>
      <c r="FD62" s="145"/>
      <c r="FE62" s="145"/>
      <c r="FF62" s="145"/>
      <c r="FG62" s="145"/>
      <c r="FH62" s="145"/>
      <c r="FI62" s="145"/>
      <c r="FJ62" s="145"/>
      <c r="FK62" s="145"/>
      <c r="FL62" s="145"/>
      <c r="FM62" s="145"/>
      <c r="FN62" s="145"/>
      <c r="FO62" s="145"/>
      <c r="FP62" s="145"/>
      <c r="FQ62" s="145"/>
      <c r="FR62" s="145"/>
      <c r="FS62" s="145"/>
      <c r="FT62" s="145"/>
      <c r="FU62" s="145"/>
      <c r="FV62" s="145"/>
      <c r="FW62" s="145"/>
      <c r="FX62" s="145"/>
      <c r="FY62" s="145"/>
      <c r="FZ62" s="145"/>
      <c r="GA62" s="145"/>
      <c r="GB62" s="141"/>
      <c r="GC62" s="141"/>
      <c r="GD62" s="141"/>
      <c r="GE62" s="141"/>
      <c r="GF62" s="141"/>
      <c r="GG62" s="141"/>
      <c r="GH62" s="141"/>
      <c r="GI62" s="141"/>
      <c r="GJ62" s="141"/>
      <c r="GK62" s="141"/>
      <c r="GL62" s="141"/>
      <c r="GM62" s="141"/>
      <c r="GN62" s="141"/>
      <c r="GO62" s="141"/>
      <c r="GP62" s="141"/>
      <c r="GQ62" s="141"/>
      <c r="GR62" s="141"/>
      <c r="GS62" s="141"/>
      <c r="GT62" s="141"/>
      <c r="GU62" s="141"/>
      <c r="GV62" s="141"/>
      <c r="GW62" s="141"/>
      <c r="GX62" s="141"/>
      <c r="GY62" s="141"/>
      <c r="GZ62" s="141"/>
      <c r="HA62" s="141"/>
      <c r="HB62" s="141"/>
      <c r="HC62" s="141"/>
    </row>
    <row r="63" spans="1:211" s="138" customFormat="1">
      <c r="A63" s="133">
        <f>ROW()-5</f>
        <v>58</v>
      </c>
      <c r="B63" s="139" t="str">
        <f t="shared" ref="B63:E64" si="102">MID(RIGHT(H63,8),1,7)</f>
        <v/>
      </c>
      <c r="C63" s="139" t="str">
        <f t="shared" si="102"/>
        <v/>
      </c>
      <c r="D63" s="139" t="str">
        <f t="shared" si="102"/>
        <v>(Ver2.0</v>
      </c>
      <c r="E63" s="139" t="str">
        <f t="shared" si="102"/>
        <v/>
      </c>
      <c r="H63" s="131"/>
      <c r="I63" s="144"/>
      <c r="J63" s="131" t="s">
        <v>144</v>
      </c>
      <c r="K63" s="135"/>
      <c r="L63" s="136"/>
      <c r="M63" s="130"/>
      <c r="N63" s="134"/>
      <c r="O63" s="136"/>
      <c r="P63" s="136"/>
      <c r="Q63" s="136"/>
      <c r="R63" s="136"/>
      <c r="S63" s="137"/>
      <c r="T63" s="146">
        <v>41004</v>
      </c>
      <c r="U63" s="146"/>
      <c r="V63" s="129"/>
      <c r="W63" s="142" t="s">
        <v>141</v>
      </c>
      <c r="X63" s="146">
        <v>41004</v>
      </c>
      <c r="Y63" s="146"/>
      <c r="Z63" s="132">
        <f ca="1">IF(SUM(AB63:HC63)=0,"",  SUM(AB63:HC63))</f>
        <v>79.5</v>
      </c>
      <c r="AA63" s="143"/>
      <c r="AB63" s="140" t="str">
        <f ca="1">IF($T63="","",IF($X63="",IF($T63&lt;TODAY(),"未着手","予定"),IF($Y63="",IF($U63&lt;TODAY(),"遅延","仕掛"),"完了")))</f>
        <v>遅延</v>
      </c>
      <c r="AC63" s="145"/>
      <c r="AD63" s="145"/>
      <c r="AE63" s="145"/>
      <c r="AF63" s="145">
        <v>1.5</v>
      </c>
      <c r="AG63" s="145">
        <v>9.5</v>
      </c>
      <c r="AH63" s="145"/>
      <c r="AI63" s="145"/>
      <c r="AJ63" s="145">
        <v>2</v>
      </c>
      <c r="AK63" s="145">
        <v>5.25</v>
      </c>
      <c r="AL63" s="145">
        <v>4.25</v>
      </c>
      <c r="AM63" s="145">
        <v>4.75</v>
      </c>
      <c r="AN63" s="145">
        <v>8</v>
      </c>
      <c r="AO63" s="145"/>
      <c r="AP63" s="145"/>
      <c r="AQ63" s="145">
        <v>8</v>
      </c>
      <c r="AR63" s="145">
        <v>7</v>
      </c>
      <c r="AS63" s="145"/>
      <c r="AT63" s="145">
        <v>4.75</v>
      </c>
      <c r="AU63" s="145">
        <v>5</v>
      </c>
      <c r="AV63" s="145"/>
      <c r="AW63" s="145"/>
      <c r="AX63" s="145">
        <v>5.75</v>
      </c>
      <c r="AY63" s="145">
        <v>1.75</v>
      </c>
      <c r="AZ63" s="145">
        <v>2.75</v>
      </c>
      <c r="BA63" s="145">
        <v>3</v>
      </c>
      <c r="BB63" s="145">
        <v>3.25</v>
      </c>
      <c r="BC63" s="145"/>
      <c r="BD63" s="145"/>
      <c r="BE63" s="145"/>
      <c r="BF63" s="145"/>
      <c r="BG63" s="145"/>
      <c r="BH63" s="145"/>
      <c r="BI63" s="145"/>
      <c r="BJ63" s="145"/>
      <c r="BK63" s="145"/>
      <c r="BL63" s="145"/>
      <c r="BM63" s="145"/>
      <c r="BN63" s="145">
        <v>3</v>
      </c>
      <c r="BO63" s="145"/>
      <c r="BP63" s="145"/>
      <c r="BQ63" s="145"/>
      <c r="BR63" s="145"/>
      <c r="BS63" s="145"/>
      <c r="BT63" s="145"/>
      <c r="BU63" s="145"/>
      <c r="BV63" s="145"/>
      <c r="BW63" s="145"/>
      <c r="BX63" s="145"/>
      <c r="BY63" s="145"/>
      <c r="BZ63" s="145"/>
      <c r="CA63" s="145"/>
      <c r="CB63" s="145"/>
      <c r="CC63" s="145"/>
      <c r="CD63" s="145"/>
      <c r="CE63" s="145"/>
      <c r="CF63" s="145"/>
      <c r="CG63" s="145"/>
      <c r="CH63" s="145"/>
      <c r="CI63" s="145"/>
      <c r="CJ63" s="145"/>
      <c r="CK63" s="145"/>
      <c r="CL63" s="145"/>
      <c r="CM63" s="145"/>
      <c r="CN63" s="145"/>
      <c r="CO63" s="145"/>
      <c r="CP63" s="145"/>
      <c r="CQ63" s="145"/>
      <c r="CR63" s="145"/>
      <c r="CS63" s="145"/>
      <c r="CT63" s="145"/>
      <c r="CU63" s="145"/>
      <c r="CV63" s="145"/>
      <c r="CW63" s="145"/>
      <c r="CX63" s="145"/>
      <c r="CY63" s="145"/>
      <c r="CZ63" s="145"/>
      <c r="DA63" s="145"/>
      <c r="DB63" s="145"/>
      <c r="DC63" s="145"/>
      <c r="DD63" s="145"/>
      <c r="DE63" s="145"/>
      <c r="DF63" s="145"/>
      <c r="DG63" s="145"/>
      <c r="DH63" s="145"/>
      <c r="DI63" s="145"/>
      <c r="DJ63" s="145"/>
      <c r="DK63" s="145"/>
      <c r="DL63" s="145"/>
      <c r="DM63" s="145"/>
      <c r="DN63" s="145"/>
      <c r="DO63" s="145"/>
      <c r="DP63" s="145"/>
      <c r="DQ63" s="145"/>
      <c r="DR63" s="145"/>
      <c r="DS63" s="145"/>
      <c r="DT63" s="145"/>
      <c r="DU63" s="145"/>
      <c r="DV63" s="145"/>
      <c r="DW63" s="145"/>
      <c r="DX63" s="145"/>
      <c r="DY63" s="145"/>
      <c r="DZ63" s="145"/>
      <c r="EA63" s="145"/>
      <c r="EB63" s="145"/>
      <c r="EC63" s="145"/>
      <c r="ED63" s="145"/>
      <c r="EE63" s="145"/>
      <c r="EF63" s="145"/>
      <c r="EG63" s="145"/>
      <c r="EH63" s="145"/>
      <c r="EI63" s="145"/>
      <c r="EJ63" s="145"/>
      <c r="EK63" s="145"/>
      <c r="EL63" s="145"/>
      <c r="EM63" s="145"/>
      <c r="EN63" s="145"/>
      <c r="EO63" s="145"/>
      <c r="EP63" s="145"/>
      <c r="EQ63" s="145"/>
      <c r="ER63" s="145"/>
      <c r="ES63" s="145"/>
      <c r="ET63" s="145"/>
      <c r="EU63" s="145"/>
      <c r="EV63" s="145"/>
      <c r="EW63" s="145"/>
      <c r="EX63" s="145"/>
      <c r="EY63" s="145"/>
      <c r="EZ63" s="145"/>
      <c r="FA63" s="145"/>
      <c r="FB63" s="145"/>
      <c r="FC63" s="145"/>
      <c r="FD63" s="145"/>
      <c r="FE63" s="145"/>
      <c r="FF63" s="145"/>
      <c r="FG63" s="145"/>
      <c r="FH63" s="145"/>
      <c r="FI63" s="145"/>
      <c r="FJ63" s="145"/>
      <c r="FK63" s="145"/>
      <c r="FL63" s="145"/>
      <c r="FM63" s="145"/>
      <c r="FN63" s="145"/>
      <c r="FO63" s="145"/>
      <c r="FP63" s="145"/>
      <c r="FQ63" s="145"/>
      <c r="FR63" s="145"/>
      <c r="FS63" s="145"/>
      <c r="FT63" s="145"/>
      <c r="FU63" s="145"/>
      <c r="FV63" s="145"/>
      <c r="FW63" s="145"/>
      <c r="FX63" s="145"/>
      <c r="FY63" s="145"/>
      <c r="FZ63" s="145"/>
      <c r="GA63" s="145"/>
      <c r="GB63" s="141"/>
      <c r="GC63" s="141"/>
      <c r="GD63" s="141"/>
      <c r="GE63" s="141"/>
      <c r="GF63" s="141"/>
      <c r="GG63" s="141"/>
      <c r="GH63" s="141"/>
      <c r="GI63" s="141"/>
      <c r="GJ63" s="141"/>
      <c r="GK63" s="141"/>
      <c r="GL63" s="141"/>
      <c r="GM63" s="141"/>
      <c r="GN63" s="141"/>
      <c r="GO63" s="141"/>
      <c r="GP63" s="141"/>
      <c r="GQ63" s="141"/>
      <c r="GR63" s="141"/>
      <c r="GS63" s="141"/>
      <c r="GT63" s="141"/>
      <c r="GU63" s="141"/>
      <c r="GV63" s="141"/>
      <c r="GW63" s="141"/>
      <c r="GX63" s="141"/>
      <c r="GY63" s="141"/>
      <c r="GZ63" s="141"/>
      <c r="HA63" s="141"/>
      <c r="HB63" s="141"/>
      <c r="HC63" s="141"/>
    </row>
    <row r="64" spans="1:211" s="138" customFormat="1">
      <c r="A64" s="133">
        <f>ROW()-5</f>
        <v>59</v>
      </c>
      <c r="B64" s="139" t="str">
        <f t="shared" si="102"/>
        <v/>
      </c>
      <c r="C64" s="139" t="str">
        <f t="shared" si="102"/>
        <v/>
      </c>
      <c r="D64" s="139" t="str">
        <f t="shared" si="102"/>
        <v>善(福永様案件</v>
      </c>
      <c r="E64" s="139" t="str">
        <f t="shared" si="102"/>
        <v/>
      </c>
      <c r="H64" s="131"/>
      <c r="I64" s="144"/>
      <c r="J64" s="131" t="s">
        <v>160</v>
      </c>
      <c r="K64" s="135"/>
      <c r="L64" s="136"/>
      <c r="M64" s="130"/>
      <c r="N64" s="134"/>
      <c r="O64" s="136"/>
      <c r="P64" s="136"/>
      <c r="Q64" s="136"/>
      <c r="R64" s="136"/>
      <c r="S64" s="137"/>
      <c r="T64" s="146">
        <v>41043</v>
      </c>
      <c r="U64" s="146"/>
      <c r="V64" s="129"/>
      <c r="W64" s="142" t="s">
        <v>77</v>
      </c>
      <c r="X64" s="146">
        <v>41043</v>
      </c>
      <c r="Y64" s="146"/>
      <c r="Z64" s="132">
        <f ca="1">IF(SUM(AB64:HC64)=0,"",  SUM(AB64:HC64))</f>
        <v>8</v>
      </c>
      <c r="AA64" s="143"/>
      <c r="AB64" s="140" t="str">
        <f ca="1">IF($T64="","",IF($X64="",IF($T64&lt;TODAY(),"未着手","予定"),IF($Y64="",IF($U64&lt;TODAY(),"遅延","仕掛"),"完了")))</f>
        <v>遅延</v>
      </c>
      <c r="AC64" s="145"/>
      <c r="AD64" s="145"/>
      <c r="AE64" s="145"/>
      <c r="AF64" s="145"/>
      <c r="AG64" s="145"/>
      <c r="AH64" s="145"/>
      <c r="AI64" s="145"/>
      <c r="AJ64" s="145"/>
      <c r="AK64" s="145"/>
      <c r="AL64" s="145"/>
      <c r="AM64" s="145"/>
      <c r="AN64" s="145"/>
      <c r="AO64" s="145"/>
      <c r="AP64" s="145"/>
      <c r="AQ64" s="145"/>
      <c r="AR64" s="145"/>
      <c r="AS64" s="145"/>
      <c r="AT64" s="145"/>
      <c r="AU64" s="145"/>
      <c r="AV64" s="145"/>
      <c r="AW64" s="145"/>
      <c r="AX64" s="145"/>
      <c r="AY64" s="145"/>
      <c r="AZ64" s="145"/>
      <c r="BA64" s="145"/>
      <c r="BB64" s="145"/>
      <c r="BC64" s="145"/>
      <c r="BD64" s="145"/>
      <c r="BE64" s="145"/>
      <c r="BF64" s="145"/>
      <c r="BG64" s="145"/>
      <c r="BH64" s="145"/>
      <c r="BI64" s="145"/>
      <c r="BJ64" s="145"/>
      <c r="BK64" s="145"/>
      <c r="BL64" s="145"/>
      <c r="BM64" s="145"/>
      <c r="BN64" s="145"/>
      <c r="BO64" s="145">
        <v>7.5</v>
      </c>
      <c r="BP64" s="145">
        <v>0.5</v>
      </c>
      <c r="BQ64" s="145"/>
      <c r="BR64" s="145"/>
      <c r="BS64" s="145"/>
      <c r="BT64" s="145"/>
      <c r="BU64" s="145"/>
      <c r="BV64" s="145"/>
      <c r="BW64" s="145"/>
      <c r="BX64" s="145"/>
      <c r="BY64" s="145"/>
      <c r="BZ64" s="145"/>
      <c r="CA64" s="145"/>
      <c r="CB64" s="145"/>
      <c r="CC64" s="145"/>
      <c r="CD64" s="145"/>
      <c r="CE64" s="145"/>
      <c r="CF64" s="145"/>
      <c r="CG64" s="145"/>
      <c r="CH64" s="145"/>
      <c r="CI64" s="145"/>
      <c r="CJ64" s="145"/>
      <c r="CK64" s="145"/>
      <c r="CL64" s="145"/>
      <c r="CM64" s="145"/>
      <c r="CN64" s="145"/>
      <c r="CO64" s="145"/>
      <c r="CP64" s="145"/>
      <c r="CQ64" s="145"/>
      <c r="CR64" s="145"/>
      <c r="CS64" s="145"/>
      <c r="CT64" s="145"/>
      <c r="CU64" s="145"/>
      <c r="CV64" s="145"/>
      <c r="CW64" s="145"/>
      <c r="CX64" s="145"/>
      <c r="CY64" s="145"/>
      <c r="CZ64" s="145"/>
      <c r="DA64" s="145"/>
      <c r="DB64" s="145"/>
      <c r="DC64" s="145"/>
      <c r="DD64" s="145"/>
      <c r="DE64" s="145"/>
      <c r="DF64" s="145"/>
      <c r="DG64" s="145"/>
      <c r="DH64" s="145"/>
      <c r="DI64" s="145"/>
      <c r="DJ64" s="145"/>
      <c r="DK64" s="145"/>
      <c r="DL64" s="145"/>
      <c r="DM64" s="145"/>
      <c r="DN64" s="145"/>
      <c r="DO64" s="145"/>
      <c r="DP64" s="145"/>
      <c r="DQ64" s="145"/>
      <c r="DR64" s="145"/>
      <c r="DS64" s="145"/>
      <c r="DT64" s="145"/>
      <c r="DU64" s="145"/>
      <c r="DV64" s="145"/>
      <c r="DW64" s="145"/>
      <c r="DX64" s="145"/>
      <c r="DY64" s="145"/>
      <c r="DZ64" s="145"/>
      <c r="EA64" s="145"/>
      <c r="EB64" s="145"/>
      <c r="EC64" s="145"/>
      <c r="ED64" s="145"/>
      <c r="EE64" s="145"/>
      <c r="EF64" s="145"/>
      <c r="EG64" s="145"/>
      <c r="EH64" s="145"/>
      <c r="EI64" s="145"/>
      <c r="EJ64" s="145"/>
      <c r="EK64" s="145"/>
      <c r="EL64" s="145"/>
      <c r="EM64" s="145"/>
      <c r="EN64" s="145"/>
      <c r="EO64" s="145"/>
      <c r="EP64" s="145"/>
      <c r="EQ64" s="145"/>
      <c r="ER64" s="145"/>
      <c r="ES64" s="145"/>
      <c r="ET64" s="145"/>
      <c r="EU64" s="145"/>
      <c r="EV64" s="145"/>
      <c r="EW64" s="145"/>
      <c r="EX64" s="145"/>
      <c r="EY64" s="145"/>
      <c r="EZ64" s="145"/>
      <c r="FA64" s="145"/>
      <c r="FB64" s="145"/>
      <c r="FC64" s="145"/>
      <c r="FD64" s="145"/>
      <c r="FE64" s="145"/>
      <c r="FF64" s="145"/>
      <c r="FG64" s="145"/>
      <c r="FH64" s="145"/>
      <c r="FI64" s="145"/>
      <c r="FJ64" s="145"/>
      <c r="FK64" s="145"/>
      <c r="FL64" s="145"/>
      <c r="FM64" s="145"/>
      <c r="FN64" s="145"/>
      <c r="FO64" s="145"/>
      <c r="FP64" s="145"/>
      <c r="FQ64" s="145"/>
      <c r="FR64" s="145"/>
      <c r="FS64" s="145"/>
      <c r="FT64" s="145"/>
      <c r="FU64" s="145"/>
      <c r="FV64" s="145"/>
      <c r="FW64" s="145"/>
      <c r="FX64" s="145"/>
      <c r="FY64" s="145"/>
      <c r="FZ64" s="145"/>
      <c r="GA64" s="145"/>
      <c r="GB64" s="141"/>
      <c r="GC64" s="141"/>
      <c r="GD64" s="141"/>
      <c r="GE64" s="141"/>
      <c r="GF64" s="141"/>
      <c r="GG64" s="141"/>
      <c r="GH64" s="141"/>
      <c r="GI64" s="141"/>
      <c r="GJ64" s="141"/>
      <c r="GK64" s="141"/>
      <c r="GL64" s="141"/>
      <c r="GM64" s="141"/>
      <c r="GN64" s="141"/>
      <c r="GO64" s="141"/>
      <c r="GP64" s="141"/>
      <c r="GQ64" s="141"/>
      <c r="GR64" s="141"/>
      <c r="GS64" s="141"/>
      <c r="GT64" s="141"/>
      <c r="GU64" s="141"/>
      <c r="GV64" s="141"/>
      <c r="GW64" s="141"/>
      <c r="GX64" s="141"/>
      <c r="GY64" s="141"/>
      <c r="GZ64" s="141"/>
      <c r="HA64" s="141"/>
      <c r="HB64" s="141"/>
      <c r="HC64" s="141"/>
    </row>
    <row r="65" spans="1:211" s="138" customFormat="1">
      <c r="A65" s="133">
        <f t="shared" si="19"/>
        <v>60</v>
      </c>
      <c r="B65" s="139" t="str">
        <f t="shared" si="97"/>
        <v/>
      </c>
      <c r="C65" s="139" t="str">
        <f t="shared" si="97"/>
        <v/>
      </c>
      <c r="D65" s="139" t="str">
        <f t="shared" si="97"/>
        <v>(Ver2.0</v>
      </c>
      <c r="E65" s="139" t="str">
        <f t="shared" si="97"/>
        <v/>
      </c>
      <c r="H65" s="131"/>
      <c r="I65" s="144"/>
      <c r="J65" s="131" t="s">
        <v>144</v>
      </c>
      <c r="K65" s="135"/>
      <c r="L65" s="136"/>
      <c r="M65" s="130"/>
      <c r="N65" s="134"/>
      <c r="O65" s="136"/>
      <c r="P65" s="136"/>
      <c r="Q65" s="136"/>
      <c r="R65" s="136"/>
      <c r="S65" s="137"/>
      <c r="T65" s="146">
        <v>41005</v>
      </c>
      <c r="U65" s="146"/>
      <c r="V65" s="129"/>
      <c r="W65" s="142" t="s">
        <v>79</v>
      </c>
      <c r="X65" s="146"/>
      <c r="Y65" s="146"/>
      <c r="Z65" s="132">
        <f ca="1">IF(SUM(AB65:HC65)=0,"",  SUM(AB65:HC65))</f>
        <v>63.5</v>
      </c>
      <c r="AA65" s="143"/>
      <c r="AB65" s="140" t="str">
        <f ca="1">IF($T65="","",IF($X65="",IF($T65&lt;TODAY(),"未着手","予定"),IF($Y65="",IF($U65&lt;TODAY(),"遅延","仕掛"),"完了")))</f>
        <v>未着手</v>
      </c>
      <c r="AC65" s="145"/>
      <c r="AD65" s="145"/>
      <c r="AE65" s="145"/>
      <c r="AF65" s="145"/>
      <c r="AG65" s="145">
        <v>2</v>
      </c>
      <c r="AH65" s="145"/>
      <c r="AI65" s="145"/>
      <c r="AJ65" s="145">
        <v>5</v>
      </c>
      <c r="AK65" s="145">
        <v>5</v>
      </c>
      <c r="AL65" s="145">
        <v>3</v>
      </c>
      <c r="AM65" s="145">
        <v>5</v>
      </c>
      <c r="AN65" s="145">
        <v>6.5</v>
      </c>
      <c r="AO65" s="145"/>
      <c r="AP65" s="145"/>
      <c r="AQ65" s="145">
        <v>6.5</v>
      </c>
      <c r="AR65" s="145">
        <v>5</v>
      </c>
      <c r="AS65" s="145">
        <v>5</v>
      </c>
      <c r="AT65" s="145"/>
      <c r="AU65" s="145">
        <v>1</v>
      </c>
      <c r="AV65" s="145"/>
      <c r="AW65" s="145"/>
      <c r="AX65" s="145">
        <v>3</v>
      </c>
      <c r="AY65" s="145">
        <v>2.5</v>
      </c>
      <c r="AZ65" s="145">
        <v>3</v>
      </c>
      <c r="BA65" s="145"/>
      <c r="BB65" s="145">
        <v>7</v>
      </c>
      <c r="BC65" s="145">
        <v>4</v>
      </c>
      <c r="BD65" s="145"/>
      <c r="BE65" s="145"/>
      <c r="BF65" s="145"/>
      <c r="BG65" s="145"/>
      <c r="BH65" s="145"/>
      <c r="BI65" s="145"/>
      <c r="BJ65" s="145"/>
      <c r="BK65" s="145"/>
      <c r="BL65" s="145"/>
      <c r="BM65" s="145"/>
      <c r="BN65" s="145"/>
      <c r="BO65" s="145"/>
      <c r="BP65" s="145"/>
      <c r="BQ65" s="145"/>
      <c r="BR65" s="145"/>
      <c r="BS65" s="145"/>
      <c r="BT65" s="145"/>
      <c r="BU65" s="145"/>
      <c r="BV65" s="145"/>
      <c r="BW65" s="145"/>
      <c r="BX65" s="145"/>
      <c r="BY65" s="145"/>
      <c r="BZ65" s="145"/>
      <c r="CA65" s="145"/>
      <c r="CB65" s="145"/>
      <c r="CC65" s="145"/>
      <c r="CD65" s="145"/>
      <c r="CE65" s="145"/>
      <c r="CF65" s="145"/>
      <c r="CG65" s="145"/>
      <c r="CH65" s="145"/>
      <c r="CI65" s="145"/>
      <c r="CJ65" s="145"/>
      <c r="CK65" s="145"/>
      <c r="CL65" s="145"/>
      <c r="CM65" s="145"/>
      <c r="CN65" s="145"/>
      <c r="CO65" s="145"/>
      <c r="CP65" s="145"/>
      <c r="CQ65" s="145"/>
      <c r="CR65" s="145"/>
      <c r="CS65" s="145"/>
      <c r="CT65" s="145"/>
      <c r="CU65" s="145"/>
      <c r="CV65" s="145"/>
      <c r="CW65" s="145"/>
      <c r="CX65" s="145"/>
      <c r="CY65" s="145"/>
      <c r="CZ65" s="145"/>
      <c r="DA65" s="145"/>
      <c r="DB65" s="145"/>
      <c r="DC65" s="145"/>
      <c r="DD65" s="145"/>
      <c r="DE65" s="145"/>
      <c r="DF65" s="145"/>
      <c r="DG65" s="145"/>
      <c r="DH65" s="145"/>
      <c r="DI65" s="145"/>
      <c r="DJ65" s="145"/>
      <c r="DK65" s="145"/>
      <c r="DL65" s="145"/>
      <c r="DM65" s="145"/>
      <c r="DN65" s="145"/>
      <c r="DO65" s="145"/>
      <c r="DP65" s="145"/>
      <c r="DQ65" s="145"/>
      <c r="DR65" s="145"/>
      <c r="DS65" s="145"/>
      <c r="DT65" s="145"/>
      <c r="DU65" s="145"/>
      <c r="DV65" s="145"/>
      <c r="DW65" s="145"/>
      <c r="DX65" s="145"/>
      <c r="DY65" s="145"/>
      <c r="DZ65" s="145"/>
      <c r="EA65" s="145"/>
      <c r="EB65" s="145"/>
      <c r="EC65" s="145"/>
      <c r="ED65" s="145"/>
      <c r="EE65" s="145"/>
      <c r="EF65" s="145"/>
      <c r="EG65" s="145"/>
      <c r="EH65" s="145"/>
      <c r="EI65" s="145"/>
      <c r="EJ65" s="145"/>
      <c r="EK65" s="145"/>
      <c r="EL65" s="145"/>
      <c r="EM65" s="145"/>
      <c r="EN65" s="145"/>
      <c r="EO65" s="145"/>
      <c r="EP65" s="145"/>
      <c r="EQ65" s="145"/>
      <c r="ER65" s="145"/>
      <c r="ES65" s="145"/>
      <c r="ET65" s="145"/>
      <c r="EU65" s="145"/>
      <c r="EV65" s="145"/>
      <c r="EW65" s="145"/>
      <c r="EX65" s="145"/>
      <c r="EY65" s="145"/>
      <c r="EZ65" s="145"/>
      <c r="FA65" s="145"/>
      <c r="FB65" s="145"/>
      <c r="FC65" s="145"/>
      <c r="FD65" s="145"/>
      <c r="FE65" s="145"/>
      <c r="FF65" s="145"/>
      <c r="FG65" s="145"/>
      <c r="FH65" s="145"/>
      <c r="FI65" s="145"/>
      <c r="FJ65" s="145"/>
      <c r="FK65" s="145"/>
      <c r="FL65" s="145"/>
      <c r="FM65" s="145"/>
      <c r="FN65" s="145"/>
      <c r="FO65" s="145"/>
      <c r="FP65" s="145"/>
      <c r="FQ65" s="145"/>
      <c r="FR65" s="145"/>
      <c r="FS65" s="145"/>
      <c r="FT65" s="145"/>
      <c r="FU65" s="145"/>
      <c r="FV65" s="145"/>
      <c r="FW65" s="145"/>
      <c r="FX65" s="145"/>
      <c r="FY65" s="145"/>
      <c r="FZ65" s="145"/>
      <c r="GA65" s="145"/>
      <c r="GB65" s="141"/>
      <c r="GC65" s="141"/>
      <c r="GD65" s="141"/>
      <c r="GE65" s="141"/>
      <c r="GF65" s="141"/>
      <c r="GG65" s="141"/>
      <c r="GH65" s="141"/>
      <c r="GI65" s="141"/>
      <c r="GJ65" s="141"/>
      <c r="GK65" s="141"/>
      <c r="GL65" s="141"/>
      <c r="GM65" s="141"/>
      <c r="GN65" s="141"/>
      <c r="GO65" s="141"/>
      <c r="GP65" s="141"/>
      <c r="GQ65" s="141"/>
      <c r="GR65" s="141"/>
      <c r="GS65" s="141"/>
      <c r="GT65" s="141"/>
      <c r="GU65" s="141"/>
      <c r="GV65" s="141"/>
      <c r="GW65" s="141"/>
      <c r="GX65" s="141"/>
      <c r="GY65" s="141"/>
      <c r="GZ65" s="141"/>
      <c r="HA65" s="141"/>
      <c r="HB65" s="141"/>
      <c r="HC65" s="141"/>
    </row>
    <row r="66" spans="1:211" s="138" customFormat="1">
      <c r="A66" s="133">
        <f t="shared" si="19"/>
        <v>61</v>
      </c>
      <c r="B66" s="139" t="str">
        <f t="shared" ref="B66" si="103">MID(RIGHT(H66,8),1,7)</f>
        <v/>
      </c>
      <c r="C66" s="139" t="str">
        <f t="shared" ref="C66" si="104">MID(RIGHT(I66,8),1,7)</f>
        <v/>
      </c>
      <c r="D66" s="139" t="str">
        <f t="shared" ref="D66" si="105">MID(RIGHT(J66,8),1,7)</f>
        <v>elマクロ)作</v>
      </c>
      <c r="E66" s="139" t="str">
        <f t="shared" ref="E66" si="106">MID(RIGHT(K66,8),1,7)</f>
        <v/>
      </c>
      <c r="H66" s="131"/>
      <c r="I66" s="144"/>
      <c r="J66" s="131" t="s">
        <v>103</v>
      </c>
      <c r="K66" s="135"/>
      <c r="L66" s="136"/>
      <c r="M66" s="130"/>
      <c r="N66" s="134"/>
      <c r="O66" s="136"/>
      <c r="P66" s="136"/>
      <c r="Q66" s="136"/>
      <c r="R66" s="136"/>
      <c r="S66" s="137"/>
      <c r="T66" s="146">
        <v>41000</v>
      </c>
      <c r="U66" s="146"/>
      <c r="V66" s="129"/>
      <c r="W66" s="142" t="s">
        <v>79</v>
      </c>
      <c r="X66" s="146"/>
      <c r="Y66" s="146"/>
      <c r="Z66" s="132">
        <f t="shared" ref="Z66" ca="1" si="107">IF(SUM(AB66:HC66)=0,"",  SUM(AB66:HC66))</f>
        <v>3.5</v>
      </c>
      <c r="AA66" s="143"/>
      <c r="AB66" s="140" t="str">
        <f t="shared" ref="AB66:AB68" ca="1" si="108">IF($T66="","",IF($X66="",IF($T66&lt;TODAY(),"未着手","予定"),IF($Y66="",IF($U66&lt;TODAY(),"遅延","仕掛"),"完了")))</f>
        <v>未着手</v>
      </c>
      <c r="AC66" s="145"/>
      <c r="AD66" s="145">
        <v>1.5</v>
      </c>
      <c r="AE66" s="145"/>
      <c r="AF66" s="145">
        <v>2</v>
      </c>
      <c r="AG66" s="145"/>
      <c r="AH66" s="145"/>
      <c r="AI66" s="145"/>
      <c r="AJ66" s="145"/>
      <c r="AK66" s="145"/>
      <c r="AL66" s="145"/>
      <c r="AM66" s="145"/>
      <c r="AN66" s="145"/>
      <c r="AO66" s="145"/>
      <c r="AP66" s="145"/>
      <c r="AQ66" s="145"/>
      <c r="AR66" s="145"/>
      <c r="AS66" s="145"/>
      <c r="AT66" s="145"/>
      <c r="AU66" s="145"/>
      <c r="AV66" s="145"/>
      <c r="AW66" s="145"/>
      <c r="AX66" s="145"/>
      <c r="AY66" s="145"/>
      <c r="AZ66" s="145"/>
      <c r="BA66" s="145"/>
      <c r="BB66" s="145"/>
      <c r="BC66" s="145"/>
      <c r="BD66" s="145"/>
      <c r="BE66" s="145"/>
      <c r="BF66" s="145"/>
      <c r="BG66" s="145"/>
      <c r="BH66" s="145"/>
      <c r="BI66" s="145"/>
      <c r="BJ66" s="145"/>
      <c r="BK66" s="145"/>
      <c r="BL66" s="145"/>
      <c r="BM66" s="145"/>
      <c r="BN66" s="145"/>
      <c r="BO66" s="145"/>
      <c r="BP66" s="145"/>
      <c r="BQ66" s="145"/>
      <c r="BR66" s="145"/>
      <c r="BS66" s="145"/>
      <c r="BT66" s="145"/>
      <c r="BU66" s="145"/>
      <c r="BV66" s="145"/>
      <c r="BW66" s="145"/>
      <c r="BX66" s="145"/>
      <c r="BY66" s="145"/>
      <c r="BZ66" s="145"/>
      <c r="CA66" s="145"/>
      <c r="CB66" s="145"/>
      <c r="CC66" s="145"/>
      <c r="CD66" s="145"/>
      <c r="CE66" s="145"/>
      <c r="CF66" s="145"/>
      <c r="CG66" s="145"/>
      <c r="CH66" s="145"/>
      <c r="CI66" s="145"/>
      <c r="CJ66" s="145"/>
      <c r="CK66" s="145"/>
      <c r="CL66" s="145"/>
      <c r="CM66" s="145"/>
      <c r="CN66" s="145"/>
      <c r="CO66" s="145"/>
      <c r="CP66" s="145"/>
      <c r="CQ66" s="145"/>
      <c r="CR66" s="145"/>
      <c r="CS66" s="145"/>
      <c r="CT66" s="145"/>
      <c r="CU66" s="145"/>
      <c r="CV66" s="145"/>
      <c r="CW66" s="145"/>
      <c r="CX66" s="145"/>
      <c r="CY66" s="145"/>
      <c r="CZ66" s="145"/>
      <c r="DA66" s="145"/>
      <c r="DB66" s="145"/>
      <c r="DC66" s="145"/>
      <c r="DD66" s="145"/>
      <c r="DE66" s="145"/>
      <c r="DF66" s="145"/>
      <c r="DG66" s="145"/>
      <c r="DH66" s="145"/>
      <c r="DI66" s="145"/>
      <c r="DJ66" s="145"/>
      <c r="DK66" s="145"/>
      <c r="DL66" s="145"/>
      <c r="DM66" s="145"/>
      <c r="DN66" s="145"/>
      <c r="DO66" s="145"/>
      <c r="DP66" s="145"/>
      <c r="DQ66" s="145"/>
      <c r="DR66" s="145"/>
      <c r="DS66" s="145"/>
      <c r="DT66" s="145"/>
      <c r="DU66" s="145"/>
      <c r="DV66" s="145"/>
      <c r="DW66" s="145"/>
      <c r="DX66" s="145"/>
      <c r="DY66" s="145"/>
      <c r="DZ66" s="145"/>
      <c r="EA66" s="145"/>
      <c r="EB66" s="145"/>
      <c r="EC66" s="145"/>
      <c r="ED66" s="145"/>
      <c r="EE66" s="145"/>
      <c r="EF66" s="145"/>
      <c r="EG66" s="145"/>
      <c r="EH66" s="145"/>
      <c r="EI66" s="145"/>
      <c r="EJ66" s="145"/>
      <c r="EK66" s="145"/>
      <c r="EL66" s="145"/>
      <c r="EM66" s="145"/>
      <c r="EN66" s="145"/>
      <c r="EO66" s="145"/>
      <c r="EP66" s="145"/>
      <c r="EQ66" s="145"/>
      <c r="ER66" s="145"/>
      <c r="ES66" s="145"/>
      <c r="ET66" s="145"/>
      <c r="EU66" s="145"/>
      <c r="EV66" s="145"/>
      <c r="EW66" s="145"/>
      <c r="EX66" s="145"/>
      <c r="EY66" s="145"/>
      <c r="EZ66" s="145"/>
      <c r="FA66" s="145"/>
      <c r="FB66" s="145"/>
      <c r="FC66" s="145"/>
      <c r="FD66" s="145"/>
      <c r="FE66" s="145"/>
      <c r="FF66" s="145"/>
      <c r="FG66" s="145"/>
      <c r="FH66" s="145"/>
      <c r="FI66" s="145"/>
      <c r="FJ66" s="145"/>
      <c r="FK66" s="145"/>
      <c r="FL66" s="145"/>
      <c r="FM66" s="145"/>
      <c r="FN66" s="145"/>
      <c r="FO66" s="145"/>
      <c r="FP66" s="145"/>
      <c r="FQ66" s="145"/>
      <c r="FR66" s="145"/>
      <c r="FS66" s="145"/>
      <c r="FT66" s="145"/>
      <c r="FU66" s="145"/>
      <c r="FV66" s="145"/>
      <c r="FW66" s="145"/>
      <c r="FX66" s="145"/>
      <c r="FY66" s="145"/>
      <c r="FZ66" s="145"/>
      <c r="GA66" s="145"/>
      <c r="GB66" s="141"/>
      <c r="GC66" s="141"/>
      <c r="GD66" s="141"/>
      <c r="GE66" s="141"/>
      <c r="GF66" s="141"/>
      <c r="GG66" s="141"/>
      <c r="GH66" s="141"/>
      <c r="GI66" s="141"/>
      <c r="GJ66" s="141"/>
      <c r="GK66" s="141"/>
      <c r="GL66" s="141"/>
      <c r="GM66" s="141"/>
      <c r="GN66" s="141"/>
      <c r="GO66" s="141"/>
      <c r="GP66" s="141"/>
      <c r="GQ66" s="141"/>
      <c r="GR66" s="141"/>
      <c r="GS66" s="141"/>
      <c r="GT66" s="141"/>
      <c r="GU66" s="141"/>
      <c r="GV66" s="141"/>
      <c r="GW66" s="141"/>
      <c r="GX66" s="141"/>
      <c r="GY66" s="141"/>
      <c r="GZ66" s="141"/>
      <c r="HA66" s="141"/>
      <c r="HB66" s="141"/>
      <c r="HC66" s="141"/>
    </row>
    <row r="67" spans="1:211" s="138" customFormat="1">
      <c r="A67" s="133">
        <f t="shared" si="19"/>
        <v>62</v>
      </c>
      <c r="B67" s="139" t="str">
        <f t="shared" ref="B67" si="109">MID(RIGHT(H67,8),1,7)</f>
        <v/>
      </c>
      <c r="C67" s="139" t="str">
        <f t="shared" ref="C67" si="110">MID(RIGHT(I67,8),1,7)</f>
        <v/>
      </c>
      <c r="D67" s="139" t="str">
        <f t="shared" ref="D67" si="111">MID(RIGHT(J67,8),1,7)</f>
        <v>境の差分につい</v>
      </c>
      <c r="E67" s="139" t="str">
        <f t="shared" ref="E67" si="112">MID(RIGHT(K67,8),1,7)</f>
        <v/>
      </c>
      <c r="H67" s="131"/>
      <c r="I67" s="144"/>
      <c r="J67" s="131" t="s">
        <v>117</v>
      </c>
      <c r="K67" s="135"/>
      <c r="L67" s="136"/>
      <c r="M67" s="130"/>
      <c r="N67" s="134"/>
      <c r="O67" s="136"/>
      <c r="P67" s="136"/>
      <c r="Q67" s="136"/>
      <c r="R67" s="136"/>
      <c r="S67" s="137"/>
      <c r="T67" s="146">
        <v>41000</v>
      </c>
      <c r="U67" s="146"/>
      <c r="V67" s="129"/>
      <c r="W67" s="142" t="s">
        <v>79</v>
      </c>
      <c r="X67" s="146"/>
      <c r="Y67" s="146"/>
      <c r="Z67" s="132">
        <f t="shared" ref="Z67" ca="1" si="113">IF(SUM(AB67:HC67)=0,"",  SUM(AB67:HC67))</f>
        <v>19</v>
      </c>
      <c r="AA67" s="143"/>
      <c r="AB67" s="140" t="str">
        <f t="shared" ca="1" si="108"/>
        <v>未着手</v>
      </c>
      <c r="AC67" s="145">
        <v>5</v>
      </c>
      <c r="AD67" s="145">
        <v>5</v>
      </c>
      <c r="AE67" s="145">
        <v>6</v>
      </c>
      <c r="AF67" s="145">
        <v>2.5</v>
      </c>
      <c r="AG67" s="145"/>
      <c r="AH67" s="145"/>
      <c r="AI67" s="145"/>
      <c r="AJ67" s="145">
        <v>0.5</v>
      </c>
      <c r="AK67" s="145"/>
      <c r="AL67" s="145"/>
      <c r="AM67" s="145"/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X67" s="145"/>
      <c r="AY67" s="145"/>
      <c r="AZ67" s="145"/>
      <c r="BA67" s="145"/>
      <c r="BB67" s="145"/>
      <c r="BC67" s="145"/>
      <c r="BD67" s="145"/>
      <c r="BE67" s="145"/>
      <c r="BF67" s="145"/>
      <c r="BG67" s="145"/>
      <c r="BH67" s="145"/>
      <c r="BI67" s="145"/>
      <c r="BJ67" s="145"/>
      <c r="BK67" s="145"/>
      <c r="BL67" s="145"/>
      <c r="BM67" s="145"/>
      <c r="BN67" s="145"/>
      <c r="BO67" s="145"/>
      <c r="BP67" s="145"/>
      <c r="BQ67" s="145"/>
      <c r="BR67" s="145"/>
      <c r="BS67" s="145"/>
      <c r="BT67" s="145"/>
      <c r="BU67" s="145"/>
      <c r="BV67" s="145"/>
      <c r="BW67" s="145"/>
      <c r="BX67" s="145"/>
      <c r="BY67" s="145"/>
      <c r="BZ67" s="145"/>
      <c r="CA67" s="145"/>
      <c r="CB67" s="145"/>
      <c r="CC67" s="145"/>
      <c r="CD67" s="145"/>
      <c r="CE67" s="145"/>
      <c r="CF67" s="145"/>
      <c r="CG67" s="145"/>
      <c r="CH67" s="145"/>
      <c r="CI67" s="145"/>
      <c r="CJ67" s="145"/>
      <c r="CK67" s="145"/>
      <c r="CL67" s="145"/>
      <c r="CM67" s="145"/>
      <c r="CN67" s="145"/>
      <c r="CO67" s="145"/>
      <c r="CP67" s="145"/>
      <c r="CQ67" s="145"/>
      <c r="CR67" s="145"/>
      <c r="CS67" s="145"/>
      <c r="CT67" s="145"/>
      <c r="CU67" s="145"/>
      <c r="CV67" s="145"/>
      <c r="CW67" s="145"/>
      <c r="CX67" s="145"/>
      <c r="CY67" s="145"/>
      <c r="CZ67" s="145"/>
      <c r="DA67" s="145"/>
      <c r="DB67" s="145"/>
      <c r="DC67" s="145"/>
      <c r="DD67" s="145"/>
      <c r="DE67" s="145"/>
      <c r="DF67" s="145"/>
      <c r="DG67" s="145"/>
      <c r="DH67" s="145"/>
      <c r="DI67" s="145"/>
      <c r="DJ67" s="145"/>
      <c r="DK67" s="145"/>
      <c r="DL67" s="145"/>
      <c r="DM67" s="145"/>
      <c r="DN67" s="145"/>
      <c r="DO67" s="145"/>
      <c r="DP67" s="145"/>
      <c r="DQ67" s="145"/>
      <c r="DR67" s="145"/>
      <c r="DS67" s="145"/>
      <c r="DT67" s="145"/>
      <c r="DU67" s="145"/>
      <c r="DV67" s="145"/>
      <c r="DW67" s="145"/>
      <c r="DX67" s="145"/>
      <c r="DY67" s="145"/>
      <c r="DZ67" s="145"/>
      <c r="EA67" s="145"/>
      <c r="EB67" s="145"/>
      <c r="EC67" s="145"/>
      <c r="ED67" s="145"/>
      <c r="EE67" s="145"/>
      <c r="EF67" s="145"/>
      <c r="EG67" s="145"/>
      <c r="EH67" s="145"/>
      <c r="EI67" s="145"/>
      <c r="EJ67" s="145"/>
      <c r="EK67" s="145"/>
      <c r="EL67" s="145"/>
      <c r="EM67" s="145"/>
      <c r="EN67" s="145"/>
      <c r="EO67" s="145"/>
      <c r="EP67" s="145"/>
      <c r="EQ67" s="145"/>
      <c r="ER67" s="145"/>
      <c r="ES67" s="145"/>
      <c r="ET67" s="145"/>
      <c r="EU67" s="145"/>
      <c r="EV67" s="145"/>
      <c r="EW67" s="145"/>
      <c r="EX67" s="145"/>
      <c r="EY67" s="145"/>
      <c r="EZ67" s="145"/>
      <c r="FA67" s="145"/>
      <c r="FB67" s="145"/>
      <c r="FC67" s="145"/>
      <c r="FD67" s="145"/>
      <c r="FE67" s="145"/>
      <c r="FF67" s="145"/>
      <c r="FG67" s="145"/>
      <c r="FH67" s="145"/>
      <c r="FI67" s="145"/>
      <c r="FJ67" s="145"/>
      <c r="FK67" s="145"/>
      <c r="FL67" s="145"/>
      <c r="FM67" s="145"/>
      <c r="FN67" s="145"/>
      <c r="FO67" s="145"/>
      <c r="FP67" s="145"/>
      <c r="FQ67" s="145"/>
      <c r="FR67" s="145"/>
      <c r="FS67" s="145"/>
      <c r="FT67" s="145"/>
      <c r="FU67" s="145"/>
      <c r="FV67" s="145"/>
      <c r="FW67" s="145"/>
      <c r="FX67" s="145"/>
      <c r="FY67" s="145"/>
      <c r="FZ67" s="145"/>
      <c r="GA67" s="145"/>
      <c r="GB67" s="141"/>
      <c r="GC67" s="141"/>
      <c r="GD67" s="141"/>
      <c r="GE67" s="141"/>
      <c r="GF67" s="141"/>
      <c r="GG67" s="141"/>
      <c r="GH67" s="141"/>
      <c r="GI67" s="141"/>
      <c r="GJ67" s="141"/>
      <c r="GK67" s="141"/>
      <c r="GL67" s="141"/>
      <c r="GM67" s="141"/>
      <c r="GN67" s="141"/>
      <c r="GO67" s="141"/>
      <c r="GP67" s="141"/>
      <c r="GQ67" s="141"/>
      <c r="GR67" s="141"/>
      <c r="GS67" s="141"/>
      <c r="GT67" s="141"/>
      <c r="GU67" s="141"/>
      <c r="GV67" s="141"/>
      <c r="GW67" s="141"/>
      <c r="GX67" s="141"/>
      <c r="GY67" s="141"/>
      <c r="GZ67" s="141"/>
      <c r="HA67" s="141"/>
      <c r="HB67" s="141"/>
      <c r="HC67" s="141"/>
    </row>
    <row r="68" spans="1:211" s="138" customFormat="1">
      <c r="A68" s="133">
        <f t="shared" si="19"/>
        <v>63</v>
      </c>
      <c r="B68" s="139" t="str">
        <f t="shared" ref="B68" si="114">MID(RIGHT(H68,8),1,7)</f>
        <v/>
      </c>
      <c r="C68" s="139" t="str">
        <f t="shared" ref="C68" si="115">MID(RIGHT(I68,8),1,7)</f>
        <v/>
      </c>
      <c r="D68" s="139" t="str">
        <f t="shared" ref="D68" si="116">MID(RIGHT(J68,8),1,7)</f>
        <v>X社対応環境構</v>
      </c>
      <c r="E68" s="139" t="str">
        <f t="shared" ref="E68" si="117">MID(RIGHT(K68,8),1,7)</f>
        <v/>
      </c>
      <c r="H68" s="131"/>
      <c r="I68" s="144"/>
      <c r="J68" s="131" t="s">
        <v>150</v>
      </c>
      <c r="K68" s="135"/>
      <c r="L68" s="136"/>
      <c r="M68" s="130"/>
      <c r="N68" s="134"/>
      <c r="O68" s="136"/>
      <c r="P68" s="136"/>
      <c r="Q68" s="136"/>
      <c r="R68" s="136"/>
      <c r="S68" s="137"/>
      <c r="T68" s="146">
        <v>41000</v>
      </c>
      <c r="U68" s="146"/>
      <c r="V68" s="129"/>
      <c r="W68" s="142" t="s">
        <v>79</v>
      </c>
      <c r="X68" s="146"/>
      <c r="Y68" s="146"/>
      <c r="Z68" s="132">
        <f t="shared" ref="Z68" ca="1" si="118">IF(SUM(AB68:HC68)=0,"",  SUM(AB68:HC68))</f>
        <v>7</v>
      </c>
      <c r="AA68" s="143"/>
      <c r="AB68" s="140" t="str">
        <f t="shared" ca="1" si="108"/>
        <v>未着手</v>
      </c>
      <c r="AC68" s="145"/>
      <c r="AD68" s="145"/>
      <c r="AE68" s="145"/>
      <c r="AF68" s="145"/>
      <c r="AG68" s="145"/>
      <c r="AH68" s="145"/>
      <c r="AI68" s="145"/>
      <c r="AJ68" s="145"/>
      <c r="AK68" s="145"/>
      <c r="AL68" s="145"/>
      <c r="AM68" s="145"/>
      <c r="AN68" s="145"/>
      <c r="AO68" s="145"/>
      <c r="AP68" s="145"/>
      <c r="AQ68" s="145"/>
      <c r="AR68" s="145"/>
      <c r="AS68" s="145"/>
      <c r="AT68" s="145"/>
      <c r="AU68" s="145">
        <v>3</v>
      </c>
      <c r="AV68" s="145"/>
      <c r="AW68" s="145"/>
      <c r="AX68" s="145">
        <v>4</v>
      </c>
      <c r="AY68" s="145"/>
      <c r="AZ68" s="145"/>
      <c r="BA68" s="145"/>
      <c r="BB68" s="145"/>
      <c r="BC68" s="145"/>
      <c r="BD68" s="145"/>
      <c r="BE68" s="145"/>
      <c r="BF68" s="145"/>
      <c r="BG68" s="145"/>
      <c r="BH68" s="145"/>
      <c r="BI68" s="145"/>
      <c r="BJ68" s="145"/>
      <c r="BK68" s="145"/>
      <c r="BL68" s="145"/>
      <c r="BM68" s="145"/>
      <c r="BN68" s="145"/>
      <c r="BO68" s="145"/>
      <c r="BP68" s="145"/>
      <c r="BQ68" s="145"/>
      <c r="BR68" s="145"/>
      <c r="BS68" s="145"/>
      <c r="BT68" s="145"/>
      <c r="BU68" s="145"/>
      <c r="BV68" s="145"/>
      <c r="BW68" s="145"/>
      <c r="BX68" s="145"/>
      <c r="BY68" s="145"/>
      <c r="BZ68" s="145"/>
      <c r="CA68" s="145"/>
      <c r="CB68" s="145"/>
      <c r="CC68" s="145"/>
      <c r="CD68" s="145"/>
      <c r="CE68" s="145"/>
      <c r="CF68" s="145"/>
      <c r="CG68" s="145"/>
      <c r="CH68" s="145"/>
      <c r="CI68" s="145"/>
      <c r="CJ68" s="145"/>
      <c r="CK68" s="145"/>
      <c r="CL68" s="145"/>
      <c r="CM68" s="145"/>
      <c r="CN68" s="145"/>
      <c r="CO68" s="145"/>
      <c r="CP68" s="145"/>
      <c r="CQ68" s="145"/>
      <c r="CR68" s="145"/>
      <c r="CS68" s="145"/>
      <c r="CT68" s="145"/>
      <c r="CU68" s="145"/>
      <c r="CV68" s="145"/>
      <c r="CW68" s="145"/>
      <c r="CX68" s="145"/>
      <c r="CY68" s="145"/>
      <c r="CZ68" s="145"/>
      <c r="DA68" s="145"/>
      <c r="DB68" s="145"/>
      <c r="DC68" s="145"/>
      <c r="DD68" s="145"/>
      <c r="DE68" s="145"/>
      <c r="DF68" s="145"/>
      <c r="DG68" s="145"/>
      <c r="DH68" s="145"/>
      <c r="DI68" s="145"/>
      <c r="DJ68" s="145"/>
      <c r="DK68" s="145"/>
      <c r="DL68" s="145"/>
      <c r="DM68" s="145"/>
      <c r="DN68" s="145"/>
      <c r="DO68" s="145"/>
      <c r="DP68" s="145"/>
      <c r="DQ68" s="145"/>
      <c r="DR68" s="145"/>
      <c r="DS68" s="145"/>
      <c r="DT68" s="145"/>
      <c r="DU68" s="145"/>
      <c r="DV68" s="145"/>
      <c r="DW68" s="145"/>
      <c r="DX68" s="145"/>
      <c r="DY68" s="145"/>
      <c r="DZ68" s="145"/>
      <c r="EA68" s="145"/>
      <c r="EB68" s="145"/>
      <c r="EC68" s="145"/>
      <c r="ED68" s="145"/>
      <c r="EE68" s="145"/>
      <c r="EF68" s="145"/>
      <c r="EG68" s="145"/>
      <c r="EH68" s="145"/>
      <c r="EI68" s="145"/>
      <c r="EJ68" s="145"/>
      <c r="EK68" s="145"/>
      <c r="EL68" s="145"/>
      <c r="EM68" s="145"/>
      <c r="EN68" s="145"/>
      <c r="EO68" s="145"/>
      <c r="EP68" s="145"/>
      <c r="EQ68" s="145"/>
      <c r="ER68" s="145"/>
      <c r="ES68" s="145"/>
      <c r="ET68" s="145"/>
      <c r="EU68" s="145"/>
      <c r="EV68" s="145"/>
      <c r="EW68" s="145"/>
      <c r="EX68" s="145"/>
      <c r="EY68" s="145"/>
      <c r="EZ68" s="145"/>
      <c r="FA68" s="145"/>
      <c r="FB68" s="145"/>
      <c r="FC68" s="145"/>
      <c r="FD68" s="145"/>
      <c r="FE68" s="145"/>
      <c r="FF68" s="145"/>
      <c r="FG68" s="145"/>
      <c r="FH68" s="145"/>
      <c r="FI68" s="145"/>
      <c r="FJ68" s="145"/>
      <c r="FK68" s="145"/>
      <c r="FL68" s="145"/>
      <c r="FM68" s="145"/>
      <c r="FN68" s="145"/>
      <c r="FO68" s="145"/>
      <c r="FP68" s="145"/>
      <c r="FQ68" s="145"/>
      <c r="FR68" s="145"/>
      <c r="FS68" s="145"/>
      <c r="FT68" s="145"/>
      <c r="FU68" s="145"/>
      <c r="FV68" s="145"/>
      <c r="FW68" s="145"/>
      <c r="FX68" s="145"/>
      <c r="FY68" s="145"/>
      <c r="FZ68" s="145"/>
      <c r="GA68" s="145"/>
      <c r="GB68" s="141"/>
      <c r="GC68" s="141"/>
      <c r="GD68" s="141"/>
      <c r="GE68" s="141"/>
      <c r="GF68" s="141"/>
      <c r="GG68" s="141"/>
      <c r="GH68" s="141"/>
      <c r="GI68" s="141"/>
      <c r="GJ68" s="141"/>
      <c r="GK68" s="141"/>
      <c r="GL68" s="141"/>
      <c r="GM68" s="141"/>
      <c r="GN68" s="141"/>
      <c r="GO68" s="141"/>
      <c r="GP68" s="141"/>
      <c r="GQ68" s="141"/>
      <c r="GR68" s="141"/>
      <c r="GS68" s="141"/>
      <c r="GT68" s="141"/>
      <c r="GU68" s="141"/>
      <c r="GV68" s="141"/>
      <c r="GW68" s="141"/>
      <c r="GX68" s="141"/>
      <c r="GY68" s="141"/>
      <c r="GZ68" s="141"/>
      <c r="HA68" s="141"/>
      <c r="HB68" s="141"/>
      <c r="HC68" s="141"/>
    </row>
    <row r="69" spans="1:211" s="111" customFormat="1">
      <c r="A69" s="109">
        <f t="shared" si="19"/>
        <v>64</v>
      </c>
      <c r="B69" s="110" t="str">
        <f>MID(RIGHT(G69,8),1,7)</f>
        <v/>
      </c>
      <c r="C69" s="110" t="str">
        <f>MID(RIGHT(H69,8),1,7)</f>
        <v/>
      </c>
      <c r="D69" s="110" t="str">
        <f>MID(RIGHT(I69,8),1,7)</f>
        <v>・ドキュメント</v>
      </c>
      <c r="E69" s="110" t="str">
        <f>MID(RIGHT(J69,8),1,7)</f>
        <v/>
      </c>
      <c r="H69" s="112"/>
      <c r="I69" s="127" t="s">
        <v>104</v>
      </c>
      <c r="J69" s="113"/>
      <c r="K69" s="114"/>
      <c r="L69" s="115"/>
      <c r="M69" s="116"/>
      <c r="N69" s="117"/>
      <c r="O69" s="115"/>
      <c r="P69" s="115"/>
      <c r="Q69" s="115"/>
      <c r="R69" s="115"/>
      <c r="S69" s="118"/>
      <c r="T69" s="119"/>
      <c r="U69" s="119"/>
      <c r="V69" s="120"/>
      <c r="W69" s="121"/>
      <c r="X69" s="119"/>
      <c r="Y69" s="119"/>
      <c r="Z69" s="122">
        <f ca="1">SUM(Z70:Z71)</f>
        <v>0</v>
      </c>
      <c r="AA69" s="128"/>
      <c r="AB69" s="123"/>
      <c r="AC69" s="124"/>
      <c r="AD69" s="124"/>
      <c r="AE69" s="124"/>
      <c r="AF69" s="124"/>
      <c r="AG69" s="124"/>
      <c r="AH69" s="125"/>
      <c r="AI69" s="125"/>
      <c r="AJ69" s="125"/>
      <c r="AK69" s="125"/>
      <c r="AL69" s="124"/>
      <c r="AM69" s="124"/>
      <c r="AN69" s="125"/>
      <c r="AO69" s="125"/>
      <c r="AP69" s="125"/>
      <c r="AQ69" s="125"/>
      <c r="AR69" s="124"/>
      <c r="AS69" s="124"/>
      <c r="AT69" s="124"/>
      <c r="AU69" s="124"/>
      <c r="AV69" s="124"/>
      <c r="AW69" s="124"/>
      <c r="AX69" s="124"/>
      <c r="AY69" s="124"/>
      <c r="AZ69" s="124"/>
      <c r="BA69" s="124"/>
      <c r="BB69" s="124"/>
      <c r="BC69" s="124"/>
      <c r="BD69" s="124"/>
      <c r="BE69" s="124"/>
      <c r="BF69" s="124"/>
      <c r="BG69" s="124"/>
      <c r="BH69" s="124"/>
      <c r="BI69" s="124"/>
      <c r="BJ69" s="124"/>
      <c r="BK69" s="124"/>
      <c r="BL69" s="124"/>
      <c r="BM69" s="124"/>
      <c r="BN69" s="124"/>
      <c r="BO69" s="124"/>
      <c r="BP69" s="124"/>
      <c r="BQ69" s="124"/>
      <c r="BR69" s="124"/>
      <c r="BS69" s="124"/>
      <c r="BT69" s="124"/>
      <c r="BU69" s="124"/>
      <c r="BV69" s="124"/>
      <c r="BW69" s="124"/>
      <c r="BX69" s="124"/>
      <c r="BY69" s="124"/>
      <c r="BZ69" s="124"/>
      <c r="CA69" s="124"/>
      <c r="CB69" s="124"/>
      <c r="CC69" s="124"/>
      <c r="CD69" s="124"/>
      <c r="CE69" s="124"/>
      <c r="CF69" s="124"/>
      <c r="CG69" s="124"/>
      <c r="CH69" s="124"/>
      <c r="CI69" s="124"/>
      <c r="CJ69" s="124"/>
      <c r="CK69" s="124"/>
      <c r="CL69" s="124"/>
      <c r="CM69" s="124"/>
      <c r="CN69" s="124"/>
      <c r="CO69" s="124"/>
      <c r="CP69" s="124"/>
      <c r="CQ69" s="124"/>
      <c r="CR69" s="124"/>
      <c r="CS69" s="124"/>
      <c r="CT69" s="124"/>
      <c r="CU69" s="124"/>
      <c r="CV69" s="124"/>
      <c r="CW69" s="124"/>
      <c r="CX69" s="124"/>
      <c r="CY69" s="124"/>
      <c r="CZ69" s="124"/>
      <c r="DA69" s="124"/>
      <c r="DB69" s="124"/>
      <c r="DC69" s="124"/>
      <c r="DD69" s="124"/>
      <c r="DE69" s="124"/>
      <c r="DF69" s="124"/>
      <c r="DG69" s="124"/>
      <c r="DH69" s="124"/>
      <c r="DI69" s="124"/>
      <c r="DJ69" s="124"/>
      <c r="DK69" s="124"/>
      <c r="DL69" s="124"/>
      <c r="DM69" s="124"/>
      <c r="DN69" s="124"/>
      <c r="DO69" s="124"/>
      <c r="DP69" s="124"/>
      <c r="DQ69" s="124"/>
      <c r="DR69" s="124"/>
      <c r="DS69" s="124"/>
      <c r="DT69" s="124"/>
      <c r="DU69" s="124"/>
      <c r="DV69" s="124"/>
      <c r="DW69" s="124"/>
      <c r="DX69" s="124"/>
      <c r="DY69" s="124"/>
      <c r="DZ69" s="124"/>
      <c r="EA69" s="124"/>
      <c r="EB69" s="124"/>
      <c r="EC69" s="124"/>
      <c r="ED69" s="124"/>
      <c r="EE69" s="124"/>
      <c r="EF69" s="124"/>
      <c r="EG69" s="124"/>
      <c r="EH69" s="124"/>
      <c r="EI69" s="124"/>
      <c r="EJ69" s="124"/>
      <c r="EK69" s="124"/>
      <c r="EL69" s="124"/>
      <c r="EM69" s="124"/>
      <c r="EN69" s="124"/>
      <c r="EO69" s="124"/>
      <c r="EP69" s="124"/>
      <c r="EQ69" s="124"/>
      <c r="ER69" s="124"/>
      <c r="ES69" s="124"/>
      <c r="ET69" s="124"/>
      <c r="EU69" s="124"/>
      <c r="EV69" s="124"/>
      <c r="EW69" s="124"/>
      <c r="EX69" s="124"/>
      <c r="EY69" s="124"/>
      <c r="EZ69" s="124"/>
      <c r="FA69" s="124"/>
      <c r="FB69" s="124"/>
      <c r="FC69" s="124"/>
      <c r="FD69" s="124"/>
      <c r="FE69" s="124"/>
      <c r="FF69" s="124"/>
      <c r="FG69" s="124"/>
      <c r="FH69" s="124"/>
      <c r="FI69" s="124"/>
      <c r="FJ69" s="124"/>
      <c r="FK69" s="124"/>
      <c r="FL69" s="124"/>
      <c r="FM69" s="124"/>
      <c r="FN69" s="124"/>
      <c r="FO69" s="124"/>
      <c r="FP69" s="124"/>
      <c r="FQ69" s="124"/>
      <c r="FR69" s="124"/>
      <c r="FS69" s="124"/>
      <c r="FT69" s="124"/>
      <c r="FU69" s="124"/>
      <c r="FV69" s="124"/>
      <c r="FW69" s="124"/>
      <c r="FX69" s="124"/>
      <c r="FY69" s="124"/>
      <c r="FZ69" s="124"/>
      <c r="GA69" s="124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</row>
    <row r="70" spans="1:211" s="138" customFormat="1">
      <c r="A70" s="133">
        <f t="shared" si="19"/>
        <v>65</v>
      </c>
      <c r="B70" s="139" t="str">
        <f t="shared" ref="B70:E71" si="119">MID(RIGHT(H70,8),1,7)</f>
        <v/>
      </c>
      <c r="C70" s="139" t="str">
        <f t="shared" si="119"/>
        <v/>
      </c>
      <c r="D70" s="139" t="str">
        <f t="shared" si="119"/>
        <v>L作業ガイド作</v>
      </c>
      <c r="E70" s="139" t="str">
        <f t="shared" si="119"/>
        <v/>
      </c>
      <c r="H70" s="131"/>
      <c r="I70" s="144"/>
      <c r="J70" s="131" t="s">
        <v>105</v>
      </c>
      <c r="K70" s="135"/>
      <c r="L70" s="136"/>
      <c r="M70" s="130"/>
      <c r="N70" s="134"/>
      <c r="O70" s="136"/>
      <c r="P70" s="136"/>
      <c r="Q70" s="136"/>
      <c r="R70" s="136"/>
      <c r="S70" s="137"/>
      <c r="T70" s="146">
        <v>41000</v>
      </c>
      <c r="U70" s="146"/>
      <c r="V70" s="129"/>
      <c r="W70" s="142" t="s">
        <v>77</v>
      </c>
      <c r="X70" s="146"/>
      <c r="Y70" s="146"/>
      <c r="Z70" s="132" t="str">
        <f ca="1">IF(SUM(AB70:HC70)=0,"",  SUM(AB70:HC70))</f>
        <v/>
      </c>
      <c r="AA70" s="143"/>
      <c r="AB70" s="140" t="str">
        <f ca="1">IF($T70="","",IF($X70="",IF($T70&lt;TODAY(),"未着手","予定"),IF($Y70="",IF($U70&lt;TODAY(),"遅延","仕掛"),"完了")))</f>
        <v>未着手</v>
      </c>
      <c r="AC70" s="145"/>
      <c r="AD70" s="145"/>
      <c r="AE70" s="145"/>
      <c r="AF70" s="145"/>
      <c r="AG70" s="145"/>
      <c r="AH70" s="145"/>
      <c r="AI70" s="145"/>
      <c r="AJ70" s="145"/>
      <c r="AK70" s="145"/>
      <c r="AL70" s="145"/>
      <c r="AM70" s="145"/>
      <c r="AN70" s="145"/>
      <c r="AO70" s="145"/>
      <c r="AP70" s="145"/>
      <c r="AQ70" s="145"/>
      <c r="AR70" s="145"/>
      <c r="AS70" s="145"/>
      <c r="AT70" s="145"/>
      <c r="AU70" s="145"/>
      <c r="AV70" s="145"/>
      <c r="AW70" s="145"/>
      <c r="AX70" s="145"/>
      <c r="AY70" s="145"/>
      <c r="AZ70" s="145"/>
      <c r="BA70" s="145"/>
      <c r="BB70" s="145"/>
      <c r="BC70" s="145"/>
      <c r="BD70" s="145"/>
      <c r="BE70" s="145"/>
      <c r="BF70" s="145"/>
      <c r="BG70" s="145"/>
      <c r="BH70" s="145"/>
      <c r="BI70" s="145"/>
      <c r="BJ70" s="145"/>
      <c r="BK70" s="145"/>
      <c r="BL70" s="145"/>
      <c r="BM70" s="145"/>
      <c r="BN70" s="145"/>
      <c r="BO70" s="145"/>
      <c r="BP70" s="145"/>
      <c r="BQ70" s="145"/>
      <c r="BR70" s="145"/>
      <c r="BS70" s="145"/>
      <c r="BT70" s="145"/>
      <c r="BU70" s="145"/>
      <c r="BV70" s="145"/>
      <c r="BW70" s="145"/>
      <c r="BX70" s="145"/>
      <c r="BY70" s="145"/>
      <c r="BZ70" s="145"/>
      <c r="CA70" s="145"/>
      <c r="CB70" s="145"/>
      <c r="CC70" s="145"/>
      <c r="CD70" s="145"/>
      <c r="CE70" s="145"/>
      <c r="CF70" s="145"/>
      <c r="CG70" s="145"/>
      <c r="CH70" s="145"/>
      <c r="CI70" s="145"/>
      <c r="CJ70" s="145"/>
      <c r="CK70" s="145"/>
      <c r="CL70" s="145"/>
      <c r="CM70" s="145"/>
      <c r="CN70" s="145"/>
      <c r="CO70" s="145"/>
      <c r="CP70" s="145"/>
      <c r="CQ70" s="145"/>
      <c r="CR70" s="145"/>
      <c r="CS70" s="145"/>
      <c r="CT70" s="145"/>
      <c r="CU70" s="145"/>
      <c r="CV70" s="145"/>
      <c r="CW70" s="145"/>
      <c r="CX70" s="145"/>
      <c r="CY70" s="145"/>
      <c r="CZ70" s="145"/>
      <c r="DA70" s="145"/>
      <c r="DB70" s="145"/>
      <c r="DC70" s="145"/>
      <c r="DD70" s="145"/>
      <c r="DE70" s="145"/>
      <c r="DF70" s="145"/>
      <c r="DG70" s="145"/>
      <c r="DH70" s="145"/>
      <c r="DI70" s="145"/>
      <c r="DJ70" s="145"/>
      <c r="DK70" s="145"/>
      <c r="DL70" s="145"/>
      <c r="DM70" s="145"/>
      <c r="DN70" s="145"/>
      <c r="DO70" s="145"/>
      <c r="DP70" s="145"/>
      <c r="DQ70" s="145"/>
      <c r="DR70" s="145"/>
      <c r="DS70" s="145"/>
      <c r="DT70" s="145"/>
      <c r="DU70" s="145"/>
      <c r="DV70" s="145"/>
      <c r="DW70" s="145"/>
      <c r="DX70" s="145"/>
      <c r="DY70" s="145"/>
      <c r="DZ70" s="145"/>
      <c r="EA70" s="145"/>
      <c r="EB70" s="145"/>
      <c r="EC70" s="145"/>
      <c r="ED70" s="145"/>
      <c r="EE70" s="145"/>
      <c r="EF70" s="145"/>
      <c r="EG70" s="145"/>
      <c r="EH70" s="145"/>
      <c r="EI70" s="145"/>
      <c r="EJ70" s="145"/>
      <c r="EK70" s="145"/>
      <c r="EL70" s="145"/>
      <c r="EM70" s="145"/>
      <c r="EN70" s="145"/>
      <c r="EO70" s="145"/>
      <c r="EP70" s="145"/>
      <c r="EQ70" s="145"/>
      <c r="ER70" s="145"/>
      <c r="ES70" s="145"/>
      <c r="ET70" s="145"/>
      <c r="EU70" s="145"/>
      <c r="EV70" s="145"/>
      <c r="EW70" s="145"/>
      <c r="EX70" s="145"/>
      <c r="EY70" s="145"/>
      <c r="EZ70" s="145"/>
      <c r="FA70" s="145"/>
      <c r="FB70" s="145"/>
      <c r="FC70" s="145"/>
      <c r="FD70" s="145"/>
      <c r="FE70" s="145"/>
      <c r="FF70" s="145"/>
      <c r="FG70" s="145"/>
      <c r="FH70" s="145"/>
      <c r="FI70" s="145"/>
      <c r="FJ70" s="145"/>
      <c r="FK70" s="145"/>
      <c r="FL70" s="145"/>
      <c r="FM70" s="145"/>
      <c r="FN70" s="145"/>
      <c r="FO70" s="145"/>
      <c r="FP70" s="145"/>
      <c r="FQ70" s="145"/>
      <c r="FR70" s="145"/>
      <c r="FS70" s="145"/>
      <c r="FT70" s="145"/>
      <c r="FU70" s="145"/>
      <c r="FV70" s="145"/>
      <c r="FW70" s="145"/>
      <c r="FX70" s="145"/>
      <c r="FY70" s="145"/>
      <c r="FZ70" s="145"/>
      <c r="GA70" s="145"/>
      <c r="GB70" s="141"/>
      <c r="GC70" s="141"/>
      <c r="GD70" s="141"/>
      <c r="GE70" s="141"/>
      <c r="GF70" s="141"/>
      <c r="GG70" s="141"/>
      <c r="GH70" s="141"/>
      <c r="GI70" s="141"/>
      <c r="GJ70" s="141"/>
      <c r="GK70" s="141"/>
      <c r="GL70" s="141"/>
      <c r="GM70" s="141"/>
      <c r="GN70" s="141"/>
      <c r="GO70" s="141"/>
      <c r="GP70" s="141"/>
      <c r="GQ70" s="141"/>
      <c r="GR70" s="141"/>
      <c r="GS70" s="141"/>
      <c r="GT70" s="141"/>
      <c r="GU70" s="141"/>
      <c r="GV70" s="141"/>
      <c r="GW70" s="141"/>
      <c r="GX70" s="141"/>
      <c r="GY70" s="141"/>
      <c r="GZ70" s="141"/>
      <c r="HA70" s="141"/>
      <c r="HB70" s="141"/>
      <c r="HC70" s="141"/>
    </row>
    <row r="71" spans="1:211" s="138" customFormat="1">
      <c r="A71" s="133">
        <f t="shared" si="19"/>
        <v>66</v>
      </c>
      <c r="B71" s="139" t="str">
        <f t="shared" si="119"/>
        <v/>
      </c>
      <c r="C71" s="139" t="str">
        <f t="shared" si="119"/>
        <v/>
      </c>
      <c r="D71" s="139" t="str">
        <f t="shared" si="119"/>
        <v>L作業ガイド作</v>
      </c>
      <c r="E71" s="139" t="str">
        <f t="shared" si="119"/>
        <v/>
      </c>
      <c r="H71" s="131"/>
      <c r="I71" s="144"/>
      <c r="J71" s="131" t="s">
        <v>102</v>
      </c>
      <c r="K71" s="135"/>
      <c r="L71" s="136"/>
      <c r="M71" s="130"/>
      <c r="N71" s="134"/>
      <c r="O71" s="136"/>
      <c r="P71" s="136"/>
      <c r="Q71" s="136"/>
      <c r="R71" s="136"/>
      <c r="S71" s="137"/>
      <c r="T71" s="146">
        <v>41000</v>
      </c>
      <c r="U71" s="146"/>
      <c r="V71" s="129"/>
      <c r="W71" s="142" t="s">
        <v>79</v>
      </c>
      <c r="X71" s="146"/>
      <c r="Y71" s="146"/>
      <c r="Z71" s="132" t="str">
        <f ca="1">IF(SUM(AB71:HC71)=0,"",  SUM(AB71:HC71))</f>
        <v/>
      </c>
      <c r="AA71" s="143"/>
      <c r="AB71" s="140" t="str">
        <f ca="1">IF($T71="","",IF($X71="",IF($T71&lt;TODAY(),"未着手","予定"),IF($Y71="",IF($U71&lt;TODAY(),"遅延","仕掛"),"完了")))</f>
        <v>未着手</v>
      </c>
      <c r="AC71" s="145"/>
      <c r="AD71" s="145"/>
      <c r="AE71" s="145"/>
      <c r="AF71" s="145"/>
      <c r="AG71" s="145"/>
      <c r="AH71" s="145"/>
      <c r="AI71" s="145"/>
      <c r="AJ71" s="145"/>
      <c r="AK71" s="145"/>
      <c r="AL71" s="145"/>
      <c r="AM71" s="145"/>
      <c r="AN71" s="145"/>
      <c r="AO71" s="145"/>
      <c r="AP71" s="145"/>
      <c r="AQ71" s="145"/>
      <c r="AR71" s="145"/>
      <c r="AS71" s="145"/>
      <c r="AT71" s="145"/>
      <c r="AU71" s="145"/>
      <c r="AV71" s="145"/>
      <c r="AW71" s="145"/>
      <c r="AX71" s="145"/>
      <c r="AY71" s="145"/>
      <c r="AZ71" s="145"/>
      <c r="BA71" s="145"/>
      <c r="BB71" s="145"/>
      <c r="BC71" s="145"/>
      <c r="BD71" s="145"/>
      <c r="BE71" s="145"/>
      <c r="BF71" s="145"/>
      <c r="BG71" s="145"/>
      <c r="BH71" s="145"/>
      <c r="BI71" s="145"/>
      <c r="BJ71" s="145"/>
      <c r="BK71" s="145"/>
      <c r="BL71" s="145"/>
      <c r="BM71" s="145"/>
      <c r="BN71" s="145"/>
      <c r="BO71" s="145"/>
      <c r="BP71" s="145"/>
      <c r="BQ71" s="145"/>
      <c r="BR71" s="145"/>
      <c r="BS71" s="145"/>
      <c r="BT71" s="145"/>
      <c r="BU71" s="145"/>
      <c r="BV71" s="145"/>
      <c r="BW71" s="145"/>
      <c r="BX71" s="145"/>
      <c r="BY71" s="145"/>
      <c r="BZ71" s="145"/>
      <c r="CA71" s="145"/>
      <c r="CB71" s="145"/>
      <c r="CC71" s="145"/>
      <c r="CD71" s="145"/>
      <c r="CE71" s="145"/>
      <c r="CF71" s="145"/>
      <c r="CG71" s="145"/>
      <c r="CH71" s="145"/>
      <c r="CI71" s="145"/>
      <c r="CJ71" s="145"/>
      <c r="CK71" s="145"/>
      <c r="CL71" s="145"/>
      <c r="CM71" s="145"/>
      <c r="CN71" s="145"/>
      <c r="CO71" s="145"/>
      <c r="CP71" s="145"/>
      <c r="CQ71" s="145"/>
      <c r="CR71" s="145"/>
      <c r="CS71" s="145"/>
      <c r="CT71" s="145"/>
      <c r="CU71" s="145"/>
      <c r="CV71" s="145"/>
      <c r="CW71" s="145"/>
      <c r="CX71" s="145"/>
      <c r="CY71" s="145"/>
      <c r="CZ71" s="145"/>
      <c r="DA71" s="145"/>
      <c r="DB71" s="145"/>
      <c r="DC71" s="145"/>
      <c r="DD71" s="145"/>
      <c r="DE71" s="145"/>
      <c r="DF71" s="145"/>
      <c r="DG71" s="145"/>
      <c r="DH71" s="145"/>
      <c r="DI71" s="145"/>
      <c r="DJ71" s="145"/>
      <c r="DK71" s="145"/>
      <c r="DL71" s="145"/>
      <c r="DM71" s="145"/>
      <c r="DN71" s="145"/>
      <c r="DO71" s="145"/>
      <c r="DP71" s="145"/>
      <c r="DQ71" s="145"/>
      <c r="DR71" s="145"/>
      <c r="DS71" s="145"/>
      <c r="DT71" s="145"/>
      <c r="DU71" s="145"/>
      <c r="DV71" s="145"/>
      <c r="DW71" s="145"/>
      <c r="DX71" s="145"/>
      <c r="DY71" s="145"/>
      <c r="DZ71" s="145"/>
      <c r="EA71" s="145"/>
      <c r="EB71" s="145"/>
      <c r="EC71" s="145"/>
      <c r="ED71" s="145"/>
      <c r="EE71" s="145"/>
      <c r="EF71" s="145"/>
      <c r="EG71" s="145"/>
      <c r="EH71" s="145"/>
      <c r="EI71" s="145"/>
      <c r="EJ71" s="145"/>
      <c r="EK71" s="145"/>
      <c r="EL71" s="145"/>
      <c r="EM71" s="145"/>
      <c r="EN71" s="145"/>
      <c r="EO71" s="145"/>
      <c r="EP71" s="145"/>
      <c r="EQ71" s="145"/>
      <c r="ER71" s="145"/>
      <c r="ES71" s="145"/>
      <c r="ET71" s="145"/>
      <c r="EU71" s="145"/>
      <c r="EV71" s="145"/>
      <c r="EW71" s="145"/>
      <c r="EX71" s="145"/>
      <c r="EY71" s="145"/>
      <c r="EZ71" s="145"/>
      <c r="FA71" s="145"/>
      <c r="FB71" s="145"/>
      <c r="FC71" s="145"/>
      <c r="FD71" s="145"/>
      <c r="FE71" s="145"/>
      <c r="FF71" s="145"/>
      <c r="FG71" s="145"/>
      <c r="FH71" s="145"/>
      <c r="FI71" s="145"/>
      <c r="FJ71" s="145"/>
      <c r="FK71" s="145"/>
      <c r="FL71" s="145"/>
      <c r="FM71" s="145"/>
      <c r="FN71" s="145"/>
      <c r="FO71" s="145"/>
      <c r="FP71" s="145"/>
      <c r="FQ71" s="145"/>
      <c r="FR71" s="145"/>
      <c r="FS71" s="145"/>
      <c r="FT71" s="145"/>
      <c r="FU71" s="145"/>
      <c r="FV71" s="145"/>
      <c r="FW71" s="145"/>
      <c r="FX71" s="145"/>
      <c r="FY71" s="145"/>
      <c r="FZ71" s="145"/>
      <c r="GA71" s="145"/>
      <c r="GB71" s="141"/>
      <c r="GC71" s="141"/>
      <c r="GD71" s="141"/>
      <c r="GE71" s="141"/>
      <c r="GF71" s="141"/>
      <c r="GG71" s="141"/>
      <c r="GH71" s="141"/>
      <c r="GI71" s="141"/>
      <c r="GJ71" s="141"/>
      <c r="GK71" s="141"/>
      <c r="GL71" s="141"/>
      <c r="GM71" s="141"/>
      <c r="GN71" s="141"/>
      <c r="GO71" s="141"/>
      <c r="GP71" s="141"/>
      <c r="GQ71" s="141"/>
      <c r="GR71" s="141"/>
      <c r="GS71" s="141"/>
      <c r="GT71" s="141"/>
      <c r="GU71" s="141"/>
      <c r="GV71" s="141"/>
      <c r="GW71" s="141"/>
      <c r="GX71" s="141"/>
      <c r="GY71" s="141"/>
      <c r="GZ71" s="141"/>
      <c r="HA71" s="141"/>
      <c r="HB71" s="141"/>
      <c r="HC71" s="141"/>
    </row>
    <row r="72" spans="1:211" s="111" customFormat="1">
      <c r="A72" s="109">
        <f t="shared" si="19"/>
        <v>67</v>
      </c>
      <c r="B72" s="110" t="str">
        <f>MID(RIGHT(G72,8),1,7)</f>
        <v/>
      </c>
      <c r="C72" s="110" t="str">
        <f>MID(RIGHT(H72,8),1,7)</f>
        <v/>
      </c>
      <c r="D72" s="110" t="str">
        <f>MID(RIGHT(I72,8),1,7)</f>
        <v>善(他チーム等</v>
      </c>
      <c r="E72" s="110" t="str">
        <f>MID(RIGHT(J72,8),1,7)</f>
        <v/>
      </c>
      <c r="H72" s="112"/>
      <c r="I72" s="127" t="s">
        <v>119</v>
      </c>
      <c r="J72" s="113"/>
      <c r="K72" s="114"/>
      <c r="L72" s="115"/>
      <c r="M72" s="116"/>
      <c r="N72" s="117"/>
      <c r="O72" s="115"/>
      <c r="P72" s="115"/>
      <c r="Q72" s="115"/>
      <c r="R72" s="115"/>
      <c r="S72" s="118"/>
      <c r="T72" s="119"/>
      <c r="U72" s="119"/>
      <c r="V72" s="120"/>
      <c r="W72" s="121"/>
      <c r="X72" s="119"/>
      <c r="Y72" s="119"/>
      <c r="Z72" s="122">
        <f ca="1">SUM(Z73:Z74)</f>
        <v>0</v>
      </c>
      <c r="AA72" s="128"/>
      <c r="AB72" s="123"/>
      <c r="AC72" s="124"/>
      <c r="AD72" s="124"/>
      <c r="AE72" s="124"/>
      <c r="AF72" s="124"/>
      <c r="AG72" s="124"/>
      <c r="AH72" s="125"/>
      <c r="AI72" s="125"/>
      <c r="AJ72" s="125"/>
      <c r="AK72" s="125"/>
      <c r="AL72" s="124"/>
      <c r="AM72" s="124"/>
      <c r="AN72" s="125"/>
      <c r="AO72" s="125"/>
      <c r="AP72" s="125"/>
      <c r="AQ72" s="125"/>
      <c r="AR72" s="124"/>
      <c r="AS72" s="124"/>
      <c r="AT72" s="124"/>
      <c r="AU72" s="124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4"/>
      <c r="BG72" s="124"/>
      <c r="BH72" s="124"/>
      <c r="BI72" s="124"/>
      <c r="BJ72" s="124"/>
      <c r="BK72" s="124"/>
      <c r="BL72" s="124"/>
      <c r="BM72" s="124"/>
      <c r="BN72" s="124"/>
      <c r="BO72" s="124"/>
      <c r="BP72" s="124"/>
      <c r="BQ72" s="124"/>
      <c r="BR72" s="124"/>
      <c r="BS72" s="124"/>
      <c r="BT72" s="124"/>
      <c r="BU72" s="124"/>
      <c r="BV72" s="124"/>
      <c r="BW72" s="124"/>
      <c r="BX72" s="124"/>
      <c r="BY72" s="124"/>
      <c r="BZ72" s="124"/>
      <c r="CA72" s="124"/>
      <c r="CB72" s="124"/>
      <c r="CC72" s="124"/>
      <c r="CD72" s="124"/>
      <c r="CE72" s="124"/>
      <c r="CF72" s="124"/>
      <c r="CG72" s="124"/>
      <c r="CH72" s="124"/>
      <c r="CI72" s="124"/>
      <c r="CJ72" s="124"/>
      <c r="CK72" s="124"/>
      <c r="CL72" s="124"/>
      <c r="CM72" s="124"/>
      <c r="CN72" s="124"/>
      <c r="CO72" s="124"/>
      <c r="CP72" s="124"/>
      <c r="CQ72" s="124"/>
      <c r="CR72" s="124"/>
      <c r="CS72" s="124"/>
      <c r="CT72" s="124"/>
      <c r="CU72" s="124"/>
      <c r="CV72" s="124"/>
      <c r="CW72" s="124"/>
      <c r="CX72" s="124"/>
      <c r="CY72" s="124"/>
      <c r="CZ72" s="124"/>
      <c r="DA72" s="124"/>
      <c r="DB72" s="124"/>
      <c r="DC72" s="124"/>
      <c r="DD72" s="124"/>
      <c r="DE72" s="124"/>
      <c r="DF72" s="124"/>
      <c r="DG72" s="124"/>
      <c r="DH72" s="124"/>
      <c r="DI72" s="124"/>
      <c r="DJ72" s="124"/>
      <c r="DK72" s="124"/>
      <c r="DL72" s="124"/>
      <c r="DM72" s="124"/>
      <c r="DN72" s="124"/>
      <c r="DO72" s="124"/>
      <c r="DP72" s="124"/>
      <c r="DQ72" s="124"/>
      <c r="DR72" s="124"/>
      <c r="DS72" s="124"/>
      <c r="DT72" s="124"/>
      <c r="DU72" s="124"/>
      <c r="DV72" s="124"/>
      <c r="DW72" s="124"/>
      <c r="DX72" s="124"/>
      <c r="DY72" s="124"/>
      <c r="DZ72" s="124"/>
      <c r="EA72" s="124"/>
      <c r="EB72" s="124"/>
      <c r="EC72" s="124"/>
      <c r="ED72" s="124"/>
      <c r="EE72" s="124"/>
      <c r="EF72" s="124"/>
      <c r="EG72" s="124"/>
      <c r="EH72" s="124"/>
      <c r="EI72" s="124"/>
      <c r="EJ72" s="124"/>
      <c r="EK72" s="124"/>
      <c r="EL72" s="124"/>
      <c r="EM72" s="124"/>
      <c r="EN72" s="124"/>
      <c r="EO72" s="124"/>
      <c r="EP72" s="124"/>
      <c r="EQ72" s="124"/>
      <c r="ER72" s="124"/>
      <c r="ES72" s="124"/>
      <c r="ET72" s="124"/>
      <c r="EU72" s="124"/>
      <c r="EV72" s="124"/>
      <c r="EW72" s="124"/>
      <c r="EX72" s="124"/>
      <c r="EY72" s="124"/>
      <c r="EZ72" s="124"/>
      <c r="FA72" s="124"/>
      <c r="FB72" s="124"/>
      <c r="FC72" s="124"/>
      <c r="FD72" s="124"/>
      <c r="FE72" s="124"/>
      <c r="FF72" s="124"/>
      <c r="FG72" s="124"/>
      <c r="FH72" s="124"/>
      <c r="FI72" s="124"/>
      <c r="FJ72" s="124"/>
      <c r="FK72" s="124"/>
      <c r="FL72" s="124"/>
      <c r="FM72" s="124"/>
      <c r="FN72" s="124"/>
      <c r="FO72" s="124"/>
      <c r="FP72" s="124"/>
      <c r="FQ72" s="124"/>
      <c r="FR72" s="124"/>
      <c r="FS72" s="124"/>
      <c r="FT72" s="124"/>
      <c r="FU72" s="124"/>
      <c r="FV72" s="124"/>
      <c r="FW72" s="124"/>
      <c r="FX72" s="124"/>
      <c r="FY72" s="124"/>
      <c r="FZ72" s="124"/>
      <c r="GA72" s="124"/>
      <c r="GB72" s="125"/>
      <c r="GC72" s="125"/>
      <c r="GD72" s="125"/>
      <c r="GE72" s="125"/>
      <c r="GF72" s="125"/>
      <c r="GG72" s="125"/>
      <c r="GH72" s="125"/>
      <c r="GI72" s="125"/>
      <c r="GJ72" s="125"/>
      <c r="GK72" s="125"/>
      <c r="GL72" s="125"/>
      <c r="GM72" s="125"/>
      <c r="GN72" s="125"/>
      <c r="GO72" s="125"/>
      <c r="GP72" s="125"/>
      <c r="GQ72" s="125"/>
      <c r="GR72" s="125"/>
      <c r="GS72" s="125"/>
      <c r="GT72" s="125"/>
      <c r="GU72" s="125"/>
      <c r="GV72" s="125"/>
      <c r="GW72" s="125"/>
      <c r="GX72" s="125"/>
      <c r="GY72" s="125"/>
      <c r="GZ72" s="125"/>
      <c r="HA72" s="125"/>
      <c r="HB72" s="125"/>
      <c r="HC72" s="125"/>
    </row>
    <row r="73" spans="1:211" s="138" customFormat="1">
      <c r="A73" s="133">
        <f t="shared" si="19"/>
        <v>68</v>
      </c>
      <c r="B73" s="139" t="str">
        <f t="shared" ref="B73" si="120">MID(RIGHT(H73,8),1,7)</f>
        <v/>
      </c>
      <c r="C73" s="139" t="str">
        <f t="shared" ref="C73" si="121">MID(RIGHT(I73,8),1,7)</f>
        <v/>
      </c>
      <c r="D73" s="139" t="str">
        <f t="shared" ref="D73" si="122">MID(RIGHT(J73,8),1,7)</f>
        <v>合ツール見積も</v>
      </c>
      <c r="E73" s="139" t="str">
        <f t="shared" ref="E73" si="123">MID(RIGHT(K73,8),1,7)</f>
        <v/>
      </c>
      <c r="H73" s="131"/>
      <c r="I73" s="144"/>
      <c r="J73" s="131" t="s">
        <v>120</v>
      </c>
      <c r="K73" s="135"/>
      <c r="L73" s="136"/>
      <c r="M73" s="130"/>
      <c r="N73" s="134"/>
      <c r="O73" s="136"/>
      <c r="P73" s="136"/>
      <c r="Q73" s="136"/>
      <c r="R73" s="136"/>
      <c r="S73" s="137"/>
      <c r="T73" s="146">
        <v>41000</v>
      </c>
      <c r="U73" s="146"/>
      <c r="V73" s="129"/>
      <c r="W73" s="142" t="s">
        <v>77</v>
      </c>
      <c r="X73" s="146"/>
      <c r="Y73" s="146"/>
      <c r="Z73" s="132" t="str">
        <f t="shared" ref="Z73" ca="1" si="124">IF(SUM(AB73:HC73)=0,"",  SUM(AB73:HC73))</f>
        <v/>
      </c>
      <c r="AA73" s="143"/>
      <c r="AB73" s="140" t="str">
        <f ca="1">IF($T73="","",IF($X73="",IF($T73&lt;TODAY(),"未着手","予定"),IF($Y73="",IF($U73&lt;TODAY(),"遅延","仕掛"),"完了")))</f>
        <v>未着手</v>
      </c>
      <c r="AC73" s="145"/>
      <c r="AD73" s="145"/>
      <c r="AE73" s="145"/>
      <c r="AF73" s="145"/>
      <c r="AG73" s="145"/>
      <c r="AH73" s="145"/>
      <c r="AI73" s="145"/>
      <c r="AJ73" s="145"/>
      <c r="AK73" s="145"/>
      <c r="AL73" s="145"/>
      <c r="AM73" s="145"/>
      <c r="AN73" s="145"/>
      <c r="AO73" s="145"/>
      <c r="AP73" s="145"/>
      <c r="AQ73" s="145"/>
      <c r="AR73" s="145"/>
      <c r="AS73" s="145"/>
      <c r="AT73" s="145"/>
      <c r="AU73" s="145"/>
      <c r="AV73" s="145"/>
      <c r="AW73" s="145"/>
      <c r="AX73" s="145"/>
      <c r="AY73" s="145"/>
      <c r="AZ73" s="145"/>
      <c r="BA73" s="145"/>
      <c r="BB73" s="145"/>
      <c r="BC73" s="145"/>
      <c r="BD73" s="145"/>
      <c r="BE73" s="145"/>
      <c r="BF73" s="145"/>
      <c r="BG73" s="145"/>
      <c r="BH73" s="145"/>
      <c r="BI73" s="145"/>
      <c r="BJ73" s="145"/>
      <c r="BK73" s="145"/>
      <c r="BL73" s="145"/>
      <c r="BM73" s="145"/>
      <c r="BN73" s="145"/>
      <c r="BO73" s="145"/>
      <c r="BP73" s="145"/>
      <c r="BQ73" s="145"/>
      <c r="BR73" s="145"/>
      <c r="BS73" s="145"/>
      <c r="BT73" s="145"/>
      <c r="BU73" s="145"/>
      <c r="BV73" s="145"/>
      <c r="BW73" s="145"/>
      <c r="BX73" s="145"/>
      <c r="BY73" s="145"/>
      <c r="BZ73" s="145"/>
      <c r="CA73" s="145"/>
      <c r="CB73" s="145"/>
      <c r="CC73" s="145"/>
      <c r="CD73" s="145"/>
      <c r="CE73" s="145"/>
      <c r="CF73" s="145"/>
      <c r="CG73" s="145"/>
      <c r="CH73" s="145"/>
      <c r="CI73" s="145"/>
      <c r="CJ73" s="145"/>
      <c r="CK73" s="145"/>
      <c r="CL73" s="145"/>
      <c r="CM73" s="145"/>
      <c r="CN73" s="145"/>
      <c r="CO73" s="145"/>
      <c r="CP73" s="145"/>
      <c r="CQ73" s="145"/>
      <c r="CR73" s="145"/>
      <c r="CS73" s="145"/>
      <c r="CT73" s="145"/>
      <c r="CU73" s="145"/>
      <c r="CV73" s="145"/>
      <c r="CW73" s="145"/>
      <c r="CX73" s="145"/>
      <c r="CY73" s="145"/>
      <c r="CZ73" s="145"/>
      <c r="DA73" s="145"/>
      <c r="DB73" s="145"/>
      <c r="DC73" s="145"/>
      <c r="DD73" s="145"/>
      <c r="DE73" s="145"/>
      <c r="DF73" s="145"/>
      <c r="DG73" s="145"/>
      <c r="DH73" s="145"/>
      <c r="DI73" s="145"/>
      <c r="DJ73" s="145"/>
      <c r="DK73" s="145"/>
      <c r="DL73" s="145"/>
      <c r="DM73" s="145"/>
      <c r="DN73" s="145"/>
      <c r="DO73" s="145"/>
      <c r="DP73" s="145"/>
      <c r="DQ73" s="145"/>
      <c r="DR73" s="145"/>
      <c r="DS73" s="145"/>
      <c r="DT73" s="145"/>
      <c r="DU73" s="145"/>
      <c r="DV73" s="145"/>
      <c r="DW73" s="145"/>
      <c r="DX73" s="145"/>
      <c r="DY73" s="145"/>
      <c r="DZ73" s="145"/>
      <c r="EA73" s="145"/>
      <c r="EB73" s="145"/>
      <c r="EC73" s="145"/>
      <c r="ED73" s="145"/>
      <c r="EE73" s="145"/>
      <c r="EF73" s="145"/>
      <c r="EG73" s="145"/>
      <c r="EH73" s="145"/>
      <c r="EI73" s="145"/>
      <c r="EJ73" s="145"/>
      <c r="EK73" s="145"/>
      <c r="EL73" s="145"/>
      <c r="EM73" s="145"/>
      <c r="EN73" s="145"/>
      <c r="EO73" s="145"/>
      <c r="EP73" s="145"/>
      <c r="EQ73" s="145"/>
      <c r="ER73" s="145"/>
      <c r="ES73" s="145"/>
      <c r="ET73" s="145"/>
      <c r="EU73" s="145"/>
      <c r="EV73" s="145"/>
      <c r="EW73" s="145"/>
      <c r="EX73" s="145"/>
      <c r="EY73" s="145"/>
      <c r="EZ73" s="145"/>
      <c r="FA73" s="145"/>
      <c r="FB73" s="145"/>
      <c r="FC73" s="145"/>
      <c r="FD73" s="145"/>
      <c r="FE73" s="145"/>
      <c r="FF73" s="145"/>
      <c r="FG73" s="145"/>
      <c r="FH73" s="145"/>
      <c r="FI73" s="145"/>
      <c r="FJ73" s="145"/>
      <c r="FK73" s="145"/>
      <c r="FL73" s="145"/>
      <c r="FM73" s="145"/>
      <c r="FN73" s="145"/>
      <c r="FO73" s="145"/>
      <c r="FP73" s="145"/>
      <c r="FQ73" s="145"/>
      <c r="FR73" s="145"/>
      <c r="FS73" s="145"/>
      <c r="FT73" s="145"/>
      <c r="FU73" s="145"/>
      <c r="FV73" s="145"/>
      <c r="FW73" s="145"/>
      <c r="FX73" s="145"/>
      <c r="FY73" s="145"/>
      <c r="FZ73" s="145"/>
      <c r="GA73" s="145"/>
      <c r="GB73" s="141"/>
      <c r="GC73" s="141"/>
      <c r="GD73" s="141"/>
      <c r="GE73" s="141"/>
      <c r="GF73" s="141"/>
      <c r="GG73" s="141"/>
      <c r="GH73" s="141"/>
      <c r="GI73" s="141"/>
      <c r="GJ73" s="141"/>
      <c r="GK73" s="141"/>
      <c r="GL73" s="141"/>
      <c r="GM73" s="141"/>
      <c r="GN73" s="141"/>
      <c r="GO73" s="141"/>
      <c r="GP73" s="141"/>
      <c r="GQ73" s="141"/>
      <c r="GR73" s="141"/>
      <c r="GS73" s="141"/>
      <c r="GT73" s="141"/>
      <c r="GU73" s="141"/>
      <c r="GV73" s="141"/>
      <c r="GW73" s="141"/>
      <c r="GX73" s="141"/>
      <c r="GY73" s="141"/>
      <c r="GZ73" s="141"/>
      <c r="HA73" s="141"/>
      <c r="HB73" s="141"/>
      <c r="HC73" s="141"/>
    </row>
    <row r="74" spans="1:211" s="91" customFormat="1">
      <c r="A74" s="90">
        <f>ROW()-5</f>
        <v>69</v>
      </c>
      <c r="B74" s="91" t="str">
        <f t="shared" ref="B74" si="125">MID(RIGHT(G74,8),1,7)</f>
        <v/>
      </c>
      <c r="C74" s="91" t="str">
        <f t="shared" ref="C74" si="126">MID(RIGHT(H74,8),1,7)</f>
        <v>その他</v>
      </c>
      <c r="D74" s="91" t="str">
        <f t="shared" ref="D74" si="127">MID(RIGHT(I74,8),1,7)</f>
        <v/>
      </c>
      <c r="F74" s="91" t="str">
        <f>MID(RIGHT(K74,8),1,7)</f>
        <v/>
      </c>
      <c r="H74" s="92" t="s">
        <v>106</v>
      </c>
      <c r="I74" s="93"/>
      <c r="J74" s="92"/>
      <c r="K74" s="94"/>
      <c r="L74" s="95"/>
      <c r="M74" s="96"/>
      <c r="N74" s="97"/>
      <c r="O74" s="95"/>
      <c r="P74" s="95"/>
      <c r="Q74" s="95"/>
      <c r="R74" s="95"/>
      <c r="S74" s="98"/>
      <c r="T74" s="99"/>
      <c r="U74" s="100"/>
      <c r="V74" s="101"/>
      <c r="W74" s="108"/>
      <c r="X74" s="102"/>
      <c r="Y74" s="102"/>
      <c r="Z74" s="103" t="s">
        <v>70</v>
      </c>
      <c r="AA74" s="104"/>
      <c r="AB74" s="105" t="str">
        <f ca="1">IF($T74="","",IF($X74="",IF($T74&lt;TODAY(),"未着手","予定"),IF($Y74="",IF($U74&lt;TODAY(),"遅延","仕掛"),"完了")))</f>
        <v/>
      </c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106"/>
      <c r="BA74" s="106"/>
      <c r="BB74" s="106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6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06"/>
      <c r="DA74" s="106"/>
      <c r="DB74" s="106"/>
      <c r="DC74" s="106"/>
      <c r="DD74" s="106"/>
      <c r="DE74" s="106"/>
      <c r="DF74" s="106"/>
      <c r="DG74" s="106"/>
      <c r="DH74" s="106"/>
      <c r="DI74" s="106"/>
      <c r="DJ74" s="106"/>
      <c r="DK74" s="106"/>
      <c r="DL74" s="106"/>
      <c r="DM74" s="106"/>
      <c r="DN74" s="106"/>
      <c r="DO74" s="106"/>
      <c r="DP74" s="106"/>
      <c r="DQ74" s="106"/>
      <c r="DR74" s="106"/>
      <c r="DS74" s="106"/>
      <c r="DT74" s="106"/>
      <c r="DU74" s="106"/>
      <c r="DV74" s="106"/>
      <c r="DW74" s="106"/>
      <c r="DX74" s="106"/>
      <c r="DY74" s="106"/>
      <c r="DZ74" s="106"/>
      <c r="EA74" s="106"/>
      <c r="EB74" s="106"/>
      <c r="EC74" s="106"/>
      <c r="ED74" s="106"/>
      <c r="EE74" s="106"/>
      <c r="EF74" s="106"/>
      <c r="EG74" s="106"/>
      <c r="EH74" s="106"/>
      <c r="EI74" s="106"/>
      <c r="EJ74" s="106"/>
      <c r="EK74" s="106"/>
      <c r="EL74" s="106"/>
      <c r="EM74" s="106"/>
      <c r="EN74" s="106"/>
      <c r="EO74" s="106"/>
      <c r="EP74" s="106"/>
      <c r="EQ74" s="106"/>
      <c r="ER74" s="106"/>
      <c r="ES74" s="106"/>
      <c r="ET74" s="106"/>
      <c r="EU74" s="106"/>
      <c r="EV74" s="106"/>
      <c r="EW74" s="106"/>
      <c r="EX74" s="106"/>
      <c r="EY74" s="106"/>
      <c r="EZ74" s="106"/>
      <c r="FA74" s="106"/>
      <c r="FB74" s="106"/>
      <c r="FC74" s="106"/>
      <c r="FD74" s="106"/>
      <c r="FE74" s="106"/>
      <c r="FF74" s="106"/>
      <c r="FG74" s="106"/>
      <c r="FH74" s="106"/>
      <c r="FI74" s="106"/>
      <c r="FJ74" s="106"/>
      <c r="FK74" s="106"/>
      <c r="FL74" s="106"/>
      <c r="FM74" s="106"/>
      <c r="FN74" s="106"/>
      <c r="FO74" s="106"/>
      <c r="FP74" s="106"/>
      <c r="FQ74" s="106"/>
      <c r="FR74" s="106"/>
      <c r="FS74" s="106"/>
      <c r="FT74" s="106"/>
      <c r="FU74" s="106"/>
      <c r="FV74" s="106"/>
      <c r="FW74" s="106"/>
      <c r="FX74" s="106"/>
      <c r="FY74" s="106"/>
      <c r="FZ74" s="106"/>
      <c r="GA74" s="106"/>
      <c r="GB74" s="107"/>
      <c r="GC74" s="107"/>
      <c r="GD74" s="107"/>
      <c r="GE74" s="107"/>
      <c r="GF74" s="107"/>
      <c r="GG74" s="107"/>
      <c r="GH74" s="107"/>
      <c r="GI74" s="107"/>
      <c r="GJ74" s="107"/>
      <c r="GK74" s="107"/>
      <c r="GL74" s="107"/>
      <c r="GM74" s="107"/>
      <c r="GN74" s="107"/>
      <c r="GO74" s="107"/>
      <c r="GP74" s="107"/>
      <c r="GQ74" s="107"/>
      <c r="GR74" s="107"/>
      <c r="GS74" s="107"/>
      <c r="GT74" s="107"/>
      <c r="GU74" s="107"/>
      <c r="GV74" s="107"/>
      <c r="GW74" s="107"/>
      <c r="GX74" s="107"/>
      <c r="GY74" s="107"/>
      <c r="GZ74" s="107"/>
      <c r="HA74" s="107"/>
      <c r="HB74" s="107"/>
      <c r="HC74" s="107"/>
    </row>
    <row r="75" spans="1:211" s="111" customFormat="1">
      <c r="A75" s="109">
        <f t="shared" si="19"/>
        <v>70</v>
      </c>
      <c r="B75" s="110" t="str">
        <f>MID(RIGHT(G75,8),1,7)</f>
        <v/>
      </c>
      <c r="C75" s="110" t="str">
        <f>MID(RIGHT(H75,8),1,7)</f>
        <v/>
      </c>
      <c r="D75" s="110" t="str">
        <f>MID(RIGHT(I75,8),1,7)</f>
        <v>発・全体会議等</v>
      </c>
      <c r="E75" s="110" t="str">
        <f>MID(RIGHT(J75,8),1,7)</f>
        <v/>
      </c>
      <c r="H75" s="112"/>
      <c r="I75" s="127" t="s">
        <v>162</v>
      </c>
      <c r="J75" s="113"/>
      <c r="K75" s="114"/>
      <c r="L75" s="115"/>
      <c r="M75" s="116"/>
      <c r="N75" s="117"/>
      <c r="O75" s="115"/>
      <c r="P75" s="115"/>
      <c r="Q75" s="115"/>
      <c r="R75" s="115"/>
      <c r="S75" s="118"/>
      <c r="T75" s="119"/>
      <c r="U75" s="119"/>
      <c r="V75" s="120"/>
      <c r="W75" s="121"/>
      <c r="X75" s="119"/>
      <c r="Y75" s="119"/>
      <c r="Z75" s="122">
        <f ca="1">SUM(Z76:Z84)</f>
        <v>18</v>
      </c>
      <c r="AA75" s="128"/>
      <c r="AB75" s="123"/>
      <c r="AC75" s="124"/>
      <c r="AD75" s="124"/>
      <c r="AE75" s="124"/>
      <c r="AF75" s="124"/>
      <c r="AG75" s="124"/>
      <c r="AH75" s="125"/>
      <c r="AI75" s="125"/>
      <c r="AJ75" s="125"/>
      <c r="AK75" s="125"/>
      <c r="AL75" s="124"/>
      <c r="AM75" s="124"/>
      <c r="AN75" s="125"/>
      <c r="AO75" s="125"/>
      <c r="AP75" s="125"/>
      <c r="AQ75" s="125"/>
      <c r="AR75" s="124"/>
      <c r="AS75" s="124"/>
      <c r="AT75" s="124"/>
      <c r="AU75" s="124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4"/>
      <c r="BG75" s="124"/>
      <c r="BH75" s="124"/>
      <c r="BI75" s="124"/>
      <c r="BJ75" s="124"/>
      <c r="BK75" s="124"/>
      <c r="BL75" s="124"/>
      <c r="BM75" s="124"/>
      <c r="BN75" s="124"/>
      <c r="BO75" s="124"/>
      <c r="BP75" s="124"/>
      <c r="BQ75" s="124"/>
      <c r="BR75" s="124"/>
      <c r="BS75" s="124"/>
      <c r="BT75" s="124"/>
      <c r="BU75" s="124"/>
      <c r="BV75" s="124"/>
      <c r="BW75" s="124"/>
      <c r="BX75" s="124"/>
      <c r="BY75" s="124"/>
      <c r="BZ75" s="124"/>
      <c r="CA75" s="124"/>
      <c r="CB75" s="124"/>
      <c r="CC75" s="124"/>
      <c r="CD75" s="124"/>
      <c r="CE75" s="124"/>
      <c r="CF75" s="124"/>
      <c r="CG75" s="124"/>
      <c r="CH75" s="124"/>
      <c r="CI75" s="124"/>
      <c r="CJ75" s="124"/>
      <c r="CK75" s="124"/>
      <c r="CL75" s="124"/>
      <c r="CM75" s="124"/>
      <c r="CN75" s="124"/>
      <c r="CO75" s="124"/>
      <c r="CP75" s="124"/>
      <c r="CQ75" s="124"/>
      <c r="CR75" s="124"/>
      <c r="CS75" s="124"/>
      <c r="CT75" s="124"/>
      <c r="CU75" s="124"/>
      <c r="CV75" s="124"/>
      <c r="CW75" s="124"/>
      <c r="CX75" s="124"/>
      <c r="CY75" s="124"/>
      <c r="CZ75" s="124"/>
      <c r="DA75" s="124"/>
      <c r="DB75" s="124"/>
      <c r="DC75" s="124"/>
      <c r="DD75" s="124"/>
      <c r="DE75" s="124"/>
      <c r="DF75" s="124"/>
      <c r="DG75" s="124"/>
      <c r="DH75" s="124"/>
      <c r="DI75" s="124"/>
      <c r="DJ75" s="124"/>
      <c r="DK75" s="124"/>
      <c r="DL75" s="124"/>
      <c r="DM75" s="124"/>
      <c r="DN75" s="124"/>
      <c r="DO75" s="124"/>
      <c r="DP75" s="124"/>
      <c r="DQ75" s="124"/>
      <c r="DR75" s="124"/>
      <c r="DS75" s="124"/>
      <c r="DT75" s="124"/>
      <c r="DU75" s="124"/>
      <c r="DV75" s="124"/>
      <c r="DW75" s="124"/>
      <c r="DX75" s="124"/>
      <c r="DY75" s="124"/>
      <c r="DZ75" s="124"/>
      <c r="EA75" s="124"/>
      <c r="EB75" s="124"/>
      <c r="EC75" s="124"/>
      <c r="ED75" s="124"/>
      <c r="EE75" s="124"/>
      <c r="EF75" s="124"/>
      <c r="EG75" s="124"/>
      <c r="EH75" s="124"/>
      <c r="EI75" s="124"/>
      <c r="EJ75" s="124"/>
      <c r="EK75" s="124"/>
      <c r="EL75" s="124"/>
      <c r="EM75" s="124"/>
      <c r="EN75" s="124"/>
      <c r="EO75" s="124"/>
      <c r="EP75" s="124"/>
      <c r="EQ75" s="124"/>
      <c r="ER75" s="124"/>
      <c r="ES75" s="124"/>
      <c r="ET75" s="124"/>
      <c r="EU75" s="124"/>
      <c r="EV75" s="124"/>
      <c r="EW75" s="124"/>
      <c r="EX75" s="124"/>
      <c r="EY75" s="124"/>
      <c r="EZ75" s="124"/>
      <c r="FA75" s="124"/>
      <c r="FB75" s="124"/>
      <c r="FC75" s="124"/>
      <c r="FD75" s="124"/>
      <c r="FE75" s="124"/>
      <c r="FF75" s="124"/>
      <c r="FG75" s="124"/>
      <c r="FH75" s="124"/>
      <c r="FI75" s="124"/>
      <c r="FJ75" s="124"/>
      <c r="FK75" s="124"/>
      <c r="FL75" s="124"/>
      <c r="FM75" s="124"/>
      <c r="FN75" s="124"/>
      <c r="FO75" s="124"/>
      <c r="FP75" s="124"/>
      <c r="FQ75" s="124"/>
      <c r="FR75" s="124"/>
      <c r="FS75" s="124"/>
      <c r="FT75" s="124"/>
      <c r="FU75" s="124"/>
      <c r="FV75" s="124"/>
      <c r="FW75" s="124"/>
      <c r="FX75" s="124"/>
      <c r="FY75" s="124"/>
      <c r="FZ75" s="124"/>
      <c r="GA75" s="124"/>
      <c r="GB75" s="125"/>
      <c r="GC75" s="125"/>
      <c r="GD75" s="125"/>
      <c r="GE75" s="125"/>
      <c r="GF75" s="125"/>
      <c r="GG75" s="125"/>
      <c r="GH75" s="125"/>
      <c r="GI75" s="125"/>
      <c r="GJ75" s="125"/>
      <c r="GK75" s="125"/>
      <c r="GL75" s="125"/>
      <c r="GM75" s="125"/>
      <c r="GN75" s="125"/>
      <c r="GO75" s="125"/>
      <c r="GP75" s="125"/>
      <c r="GQ75" s="125"/>
      <c r="GR75" s="125"/>
      <c r="GS75" s="125"/>
      <c r="GT75" s="125"/>
      <c r="GU75" s="125"/>
      <c r="GV75" s="125"/>
      <c r="GW75" s="125"/>
      <c r="GX75" s="125"/>
      <c r="GY75" s="125"/>
      <c r="GZ75" s="125"/>
      <c r="HA75" s="125"/>
      <c r="HB75" s="125"/>
      <c r="HC75" s="125"/>
    </row>
    <row r="76" spans="1:211" s="138" customFormat="1">
      <c r="A76" s="133">
        <f t="shared" si="19"/>
        <v>71</v>
      </c>
      <c r="B76" s="139" t="str">
        <f t="shared" ref="B76:B78" si="128">MID(RIGHT(H76,8),1,7)</f>
        <v/>
      </c>
      <c r="C76" s="139" t="str">
        <f t="shared" ref="C76:C78" si="129">MID(RIGHT(I76,8),1,7)</f>
        <v/>
      </c>
      <c r="D76" s="139" t="str">
        <f t="shared" ref="D76:D78" si="130">MID(RIGHT(J76,8),1,7)</f>
        <v>昼ミーティング</v>
      </c>
      <c r="E76" s="139" t="str">
        <f t="shared" ref="E76:E78" si="131">MID(RIGHT(K76,8),1,7)</f>
        <v/>
      </c>
      <c r="H76" s="131"/>
      <c r="I76" s="144"/>
      <c r="J76" s="131" t="s">
        <v>136</v>
      </c>
      <c r="K76" s="135"/>
      <c r="L76" s="136"/>
      <c r="M76" s="130"/>
      <c r="N76" s="134"/>
      <c r="O76" s="136"/>
      <c r="P76" s="136"/>
      <c r="Q76" s="136"/>
      <c r="R76" s="136"/>
      <c r="S76" s="137"/>
      <c r="T76" s="146">
        <v>41000</v>
      </c>
      <c r="U76" s="146"/>
      <c r="V76" s="129"/>
      <c r="W76" s="142" t="s">
        <v>112</v>
      </c>
      <c r="X76" s="146"/>
      <c r="Y76" s="146"/>
      <c r="Z76" s="132">
        <f t="shared" ref="Z76:Z78" ca="1" si="132">IF(SUM(AB76:HC76)=0,"",  SUM(AB76:HC76))</f>
        <v>1</v>
      </c>
      <c r="AA76" s="143"/>
      <c r="AB76" s="140" t="str">
        <f t="shared" ref="AB76:AB87" ca="1" si="133">IF($T76="","",IF($X76="",IF($T76&lt;TODAY(),"未着手","予定"),IF($Y76="",IF($U76&lt;TODAY(),"遅延","仕掛"),"完了")))</f>
        <v>未着手</v>
      </c>
      <c r="AC76" s="145">
        <v>0.25</v>
      </c>
      <c r="AD76" s="145"/>
      <c r="AE76" s="145"/>
      <c r="AF76" s="145"/>
      <c r="AG76" s="145">
        <v>0.25</v>
      </c>
      <c r="AH76" s="145"/>
      <c r="AI76" s="145"/>
      <c r="AJ76" s="145"/>
      <c r="AK76" s="145"/>
      <c r="AL76" s="145"/>
      <c r="AM76" s="145">
        <v>0.25</v>
      </c>
      <c r="AN76" s="145"/>
      <c r="AO76" s="145"/>
      <c r="AP76" s="145"/>
      <c r="AQ76" s="145"/>
      <c r="AR76" s="145"/>
      <c r="AS76" s="145"/>
      <c r="AT76" s="145"/>
      <c r="AU76" s="145"/>
      <c r="AV76" s="145"/>
      <c r="AW76" s="145"/>
      <c r="AX76" s="145"/>
      <c r="AY76" s="145">
        <v>0.25</v>
      </c>
      <c r="AZ76" s="145"/>
      <c r="BA76" s="145"/>
      <c r="BB76" s="145"/>
      <c r="BC76" s="145"/>
      <c r="BD76" s="145"/>
      <c r="BE76" s="145"/>
      <c r="BF76" s="145"/>
      <c r="BG76" s="145"/>
      <c r="BH76" s="145"/>
      <c r="BI76" s="145"/>
      <c r="BJ76" s="145"/>
      <c r="BK76" s="145"/>
      <c r="BL76" s="145"/>
      <c r="BM76" s="145"/>
      <c r="BN76" s="145"/>
      <c r="BO76" s="145"/>
      <c r="BP76" s="145"/>
      <c r="BQ76" s="145"/>
      <c r="BR76" s="145"/>
      <c r="BS76" s="145"/>
      <c r="BT76" s="145"/>
      <c r="BU76" s="145"/>
      <c r="BV76" s="145"/>
      <c r="BW76" s="145"/>
      <c r="BX76" s="145"/>
      <c r="BY76" s="145"/>
      <c r="BZ76" s="145"/>
      <c r="CA76" s="145"/>
      <c r="CB76" s="145"/>
      <c r="CC76" s="145"/>
      <c r="CD76" s="145"/>
      <c r="CE76" s="145"/>
      <c r="CF76" s="145"/>
      <c r="CG76" s="145"/>
      <c r="CH76" s="145"/>
      <c r="CI76" s="145"/>
      <c r="CJ76" s="145"/>
      <c r="CK76" s="145"/>
      <c r="CL76" s="145"/>
      <c r="CM76" s="145"/>
      <c r="CN76" s="145"/>
      <c r="CO76" s="145"/>
      <c r="CP76" s="145"/>
      <c r="CQ76" s="145"/>
      <c r="CR76" s="145"/>
      <c r="CS76" s="145"/>
      <c r="CT76" s="145"/>
      <c r="CU76" s="145"/>
      <c r="CV76" s="145"/>
      <c r="CW76" s="145"/>
      <c r="CX76" s="145"/>
      <c r="CY76" s="145"/>
      <c r="CZ76" s="145"/>
      <c r="DA76" s="145"/>
      <c r="DB76" s="145"/>
      <c r="DC76" s="145"/>
      <c r="DD76" s="145"/>
      <c r="DE76" s="145"/>
      <c r="DF76" s="145"/>
      <c r="DG76" s="145"/>
      <c r="DH76" s="145"/>
      <c r="DI76" s="145"/>
      <c r="DJ76" s="145"/>
      <c r="DK76" s="145"/>
      <c r="DL76" s="145"/>
      <c r="DM76" s="145"/>
      <c r="DN76" s="145"/>
      <c r="DO76" s="145"/>
      <c r="DP76" s="145"/>
      <c r="DQ76" s="145"/>
      <c r="DR76" s="145"/>
      <c r="DS76" s="145"/>
      <c r="DT76" s="145"/>
      <c r="DU76" s="145"/>
      <c r="DV76" s="145"/>
      <c r="DW76" s="145"/>
      <c r="DX76" s="145"/>
      <c r="DY76" s="145"/>
      <c r="DZ76" s="145"/>
      <c r="EA76" s="145"/>
      <c r="EB76" s="145"/>
      <c r="EC76" s="145"/>
      <c r="ED76" s="145"/>
      <c r="EE76" s="145"/>
      <c r="EF76" s="145"/>
      <c r="EG76" s="145"/>
      <c r="EH76" s="145"/>
      <c r="EI76" s="145"/>
      <c r="EJ76" s="145"/>
      <c r="EK76" s="145"/>
      <c r="EL76" s="145"/>
      <c r="EM76" s="145"/>
      <c r="EN76" s="145"/>
      <c r="EO76" s="145"/>
      <c r="EP76" s="145"/>
      <c r="EQ76" s="145"/>
      <c r="ER76" s="145"/>
      <c r="ES76" s="145"/>
      <c r="ET76" s="145"/>
      <c r="EU76" s="145"/>
      <c r="EV76" s="145"/>
      <c r="EW76" s="145"/>
      <c r="EX76" s="145"/>
      <c r="EY76" s="145"/>
      <c r="EZ76" s="145"/>
      <c r="FA76" s="145"/>
      <c r="FB76" s="145"/>
      <c r="FC76" s="145"/>
      <c r="FD76" s="145"/>
      <c r="FE76" s="145"/>
      <c r="FF76" s="145"/>
      <c r="FG76" s="145"/>
      <c r="FH76" s="145"/>
      <c r="FI76" s="145"/>
      <c r="FJ76" s="145"/>
      <c r="FK76" s="145"/>
      <c r="FL76" s="145"/>
      <c r="FM76" s="145"/>
      <c r="FN76" s="145"/>
      <c r="FO76" s="145"/>
      <c r="FP76" s="145"/>
      <c r="FQ76" s="145"/>
      <c r="FR76" s="145"/>
      <c r="FS76" s="145"/>
      <c r="FT76" s="145"/>
      <c r="FU76" s="145"/>
      <c r="FV76" s="145"/>
      <c r="FW76" s="145"/>
      <c r="FX76" s="145"/>
      <c r="FY76" s="145"/>
      <c r="FZ76" s="145"/>
      <c r="GA76" s="145"/>
      <c r="GB76" s="141"/>
      <c r="GC76" s="141"/>
      <c r="GD76" s="141"/>
      <c r="GE76" s="141"/>
      <c r="GF76" s="141"/>
      <c r="GG76" s="141"/>
      <c r="GH76" s="141"/>
      <c r="GI76" s="141"/>
      <c r="GJ76" s="141"/>
      <c r="GK76" s="141"/>
      <c r="GL76" s="141"/>
      <c r="GM76" s="141"/>
      <c r="GN76" s="141"/>
      <c r="GO76" s="141"/>
      <c r="GP76" s="141"/>
      <c r="GQ76" s="141"/>
      <c r="GR76" s="141"/>
      <c r="GS76" s="141"/>
      <c r="GT76" s="141"/>
      <c r="GU76" s="141"/>
      <c r="GV76" s="141"/>
      <c r="GW76" s="141"/>
      <c r="GX76" s="141"/>
      <c r="GY76" s="141"/>
      <c r="GZ76" s="141"/>
      <c r="HA76" s="141"/>
      <c r="HB76" s="141"/>
      <c r="HC76" s="141"/>
    </row>
    <row r="77" spans="1:211" s="138" customFormat="1">
      <c r="A77" s="133">
        <f t="shared" si="19"/>
        <v>72</v>
      </c>
      <c r="B77" s="139" t="str">
        <f t="shared" si="128"/>
        <v/>
      </c>
      <c r="C77" s="139" t="str">
        <f t="shared" si="129"/>
        <v/>
      </c>
      <c r="D77" s="139" t="str">
        <f t="shared" si="130"/>
        <v>開発作業</v>
      </c>
      <c r="E77" s="139" t="str">
        <f t="shared" si="131"/>
        <v/>
      </c>
      <c r="H77" s="131"/>
      <c r="I77" s="144"/>
      <c r="J77" s="131" t="s">
        <v>108</v>
      </c>
      <c r="K77" s="135"/>
      <c r="L77" s="136"/>
      <c r="M77" s="130"/>
      <c r="N77" s="134"/>
      <c r="O77" s="136"/>
      <c r="P77" s="136"/>
      <c r="Q77" s="136"/>
      <c r="R77" s="136"/>
      <c r="S77" s="137"/>
      <c r="T77" s="146">
        <v>41000</v>
      </c>
      <c r="U77" s="146"/>
      <c r="V77" s="129"/>
      <c r="W77" s="142" t="s">
        <v>113</v>
      </c>
      <c r="X77" s="146"/>
      <c r="Y77" s="146"/>
      <c r="Z77" s="132" t="str">
        <f t="shared" ca="1" si="132"/>
        <v/>
      </c>
      <c r="AA77" s="143"/>
      <c r="AB77" s="140" t="str">
        <f t="shared" ca="1" si="133"/>
        <v>未着手</v>
      </c>
      <c r="AC77" s="145"/>
      <c r="AD77" s="145"/>
      <c r="AE77" s="145"/>
      <c r="AF77" s="145"/>
      <c r="AG77" s="145"/>
      <c r="AH77" s="145"/>
      <c r="AI77" s="145"/>
      <c r="AJ77" s="145"/>
      <c r="AK77" s="145"/>
      <c r="AL77" s="145"/>
      <c r="AM77" s="145"/>
      <c r="AN77" s="145"/>
      <c r="AO77" s="145"/>
      <c r="AP77" s="145"/>
      <c r="AQ77" s="145"/>
      <c r="AR77" s="145"/>
      <c r="AS77" s="145"/>
      <c r="AT77" s="145"/>
      <c r="AU77" s="145"/>
      <c r="AV77" s="145"/>
      <c r="AW77" s="145"/>
      <c r="AX77" s="145"/>
      <c r="AY77" s="145"/>
      <c r="AZ77" s="145"/>
      <c r="BA77" s="145"/>
      <c r="BB77" s="145"/>
      <c r="BC77" s="145"/>
      <c r="BD77" s="145"/>
      <c r="BE77" s="145"/>
      <c r="BF77" s="145"/>
      <c r="BG77" s="145"/>
      <c r="BH77" s="145"/>
      <c r="BI77" s="145"/>
      <c r="BJ77" s="145"/>
      <c r="BK77" s="145"/>
      <c r="BL77" s="145"/>
      <c r="BM77" s="145"/>
      <c r="BN77" s="145"/>
      <c r="BO77" s="145"/>
      <c r="BP77" s="145"/>
      <c r="BQ77" s="145"/>
      <c r="BR77" s="145"/>
      <c r="BS77" s="145"/>
      <c r="BT77" s="145"/>
      <c r="BU77" s="145"/>
      <c r="BV77" s="145"/>
      <c r="BW77" s="145"/>
      <c r="BX77" s="145"/>
      <c r="BY77" s="145"/>
      <c r="BZ77" s="145"/>
      <c r="CA77" s="145"/>
      <c r="CB77" s="145"/>
      <c r="CC77" s="145"/>
      <c r="CD77" s="145"/>
      <c r="CE77" s="145"/>
      <c r="CF77" s="145"/>
      <c r="CG77" s="145"/>
      <c r="CH77" s="145"/>
      <c r="CI77" s="145"/>
      <c r="CJ77" s="145"/>
      <c r="CK77" s="145"/>
      <c r="CL77" s="145"/>
      <c r="CM77" s="145"/>
      <c r="CN77" s="145"/>
      <c r="CO77" s="145"/>
      <c r="CP77" s="145"/>
      <c r="CQ77" s="145"/>
      <c r="CR77" s="145"/>
      <c r="CS77" s="145"/>
      <c r="CT77" s="145"/>
      <c r="CU77" s="145"/>
      <c r="CV77" s="145"/>
      <c r="CW77" s="145"/>
      <c r="CX77" s="145"/>
      <c r="CY77" s="145"/>
      <c r="CZ77" s="145"/>
      <c r="DA77" s="145"/>
      <c r="DB77" s="145"/>
      <c r="DC77" s="145"/>
      <c r="DD77" s="145"/>
      <c r="DE77" s="145"/>
      <c r="DF77" s="145"/>
      <c r="DG77" s="145"/>
      <c r="DH77" s="145"/>
      <c r="DI77" s="145"/>
      <c r="DJ77" s="145"/>
      <c r="DK77" s="145"/>
      <c r="DL77" s="145"/>
      <c r="DM77" s="145"/>
      <c r="DN77" s="145"/>
      <c r="DO77" s="145"/>
      <c r="DP77" s="145"/>
      <c r="DQ77" s="145"/>
      <c r="DR77" s="145"/>
      <c r="DS77" s="145"/>
      <c r="DT77" s="145"/>
      <c r="DU77" s="145"/>
      <c r="DV77" s="145"/>
      <c r="DW77" s="145"/>
      <c r="DX77" s="145"/>
      <c r="DY77" s="145"/>
      <c r="DZ77" s="145"/>
      <c r="EA77" s="145"/>
      <c r="EB77" s="145"/>
      <c r="EC77" s="145"/>
      <c r="ED77" s="145"/>
      <c r="EE77" s="145"/>
      <c r="EF77" s="145"/>
      <c r="EG77" s="145"/>
      <c r="EH77" s="145"/>
      <c r="EI77" s="145"/>
      <c r="EJ77" s="145"/>
      <c r="EK77" s="145"/>
      <c r="EL77" s="145"/>
      <c r="EM77" s="145"/>
      <c r="EN77" s="145"/>
      <c r="EO77" s="145"/>
      <c r="EP77" s="145"/>
      <c r="EQ77" s="145"/>
      <c r="ER77" s="145"/>
      <c r="ES77" s="145"/>
      <c r="ET77" s="145"/>
      <c r="EU77" s="145"/>
      <c r="EV77" s="145"/>
      <c r="EW77" s="145"/>
      <c r="EX77" s="145"/>
      <c r="EY77" s="145"/>
      <c r="EZ77" s="145"/>
      <c r="FA77" s="145"/>
      <c r="FB77" s="145"/>
      <c r="FC77" s="145"/>
      <c r="FD77" s="145"/>
      <c r="FE77" s="145"/>
      <c r="FF77" s="145"/>
      <c r="FG77" s="145"/>
      <c r="FH77" s="145"/>
      <c r="FI77" s="145"/>
      <c r="FJ77" s="145"/>
      <c r="FK77" s="145"/>
      <c r="FL77" s="145"/>
      <c r="FM77" s="145"/>
      <c r="FN77" s="145"/>
      <c r="FO77" s="145"/>
      <c r="FP77" s="145"/>
      <c r="FQ77" s="145"/>
      <c r="FR77" s="145"/>
      <c r="FS77" s="145"/>
      <c r="FT77" s="145"/>
      <c r="FU77" s="145"/>
      <c r="FV77" s="145"/>
      <c r="FW77" s="145"/>
      <c r="FX77" s="145"/>
      <c r="FY77" s="145"/>
      <c r="FZ77" s="145"/>
      <c r="GA77" s="145"/>
      <c r="GB77" s="141"/>
      <c r="GC77" s="141"/>
      <c r="GD77" s="141"/>
      <c r="GE77" s="141"/>
      <c r="GF77" s="141"/>
      <c r="GG77" s="141"/>
      <c r="GH77" s="141"/>
      <c r="GI77" s="141"/>
      <c r="GJ77" s="141"/>
      <c r="GK77" s="141"/>
      <c r="GL77" s="141"/>
      <c r="GM77" s="141"/>
      <c r="GN77" s="141"/>
      <c r="GO77" s="141"/>
      <c r="GP77" s="141"/>
      <c r="GQ77" s="141"/>
      <c r="GR77" s="141"/>
      <c r="GS77" s="141"/>
      <c r="GT77" s="141"/>
      <c r="GU77" s="141"/>
      <c r="GV77" s="141"/>
      <c r="GW77" s="141"/>
      <c r="GX77" s="141"/>
      <c r="GY77" s="141"/>
      <c r="GZ77" s="141"/>
      <c r="HA77" s="141"/>
      <c r="HB77" s="141"/>
      <c r="HC77" s="141"/>
    </row>
    <row r="78" spans="1:211" s="138" customFormat="1">
      <c r="A78" s="133">
        <f t="shared" si="19"/>
        <v>73</v>
      </c>
      <c r="B78" s="139" t="str">
        <f t="shared" si="128"/>
        <v/>
      </c>
      <c r="C78" s="139" t="str">
        <f t="shared" si="129"/>
        <v/>
      </c>
      <c r="D78" s="139" t="str">
        <f t="shared" si="130"/>
        <v>シュート(開発</v>
      </c>
      <c r="E78" s="139" t="str">
        <f t="shared" si="131"/>
        <v/>
      </c>
      <c r="H78" s="131"/>
      <c r="I78" s="144"/>
      <c r="J78" s="131" t="s">
        <v>137</v>
      </c>
      <c r="K78" s="135"/>
      <c r="L78" s="136"/>
      <c r="M78" s="130"/>
      <c r="N78" s="134"/>
      <c r="O78" s="136"/>
      <c r="P78" s="136"/>
      <c r="Q78" s="136"/>
      <c r="R78" s="136"/>
      <c r="S78" s="137"/>
      <c r="T78" s="146">
        <v>41000</v>
      </c>
      <c r="U78" s="146"/>
      <c r="V78" s="129"/>
      <c r="W78" s="142" t="s">
        <v>113</v>
      </c>
      <c r="X78" s="146"/>
      <c r="Y78" s="146"/>
      <c r="Z78" s="132">
        <f t="shared" ca="1" si="132"/>
        <v>2.25</v>
      </c>
      <c r="AA78" s="143"/>
      <c r="AB78" s="140" t="str">
        <f t="shared" ca="1" si="133"/>
        <v>未着手</v>
      </c>
      <c r="AC78" s="145"/>
      <c r="AD78" s="145">
        <v>0.25</v>
      </c>
      <c r="AE78" s="145"/>
      <c r="AF78" s="145"/>
      <c r="AG78" s="145"/>
      <c r="AH78" s="145"/>
      <c r="AI78" s="145"/>
      <c r="AJ78" s="145">
        <v>1.25</v>
      </c>
      <c r="AK78" s="145"/>
      <c r="AL78" s="145"/>
      <c r="AM78" s="145"/>
      <c r="AN78" s="145"/>
      <c r="AO78" s="145"/>
      <c r="AP78" s="145"/>
      <c r="AQ78" s="145"/>
      <c r="AR78" s="145"/>
      <c r="AS78" s="145"/>
      <c r="AT78" s="145"/>
      <c r="AU78" s="145">
        <v>0.5</v>
      </c>
      <c r="AV78" s="145"/>
      <c r="AW78" s="145"/>
      <c r="AX78" s="145"/>
      <c r="AY78" s="145"/>
      <c r="AZ78" s="145"/>
      <c r="BA78" s="145"/>
      <c r="BB78" s="145"/>
      <c r="BC78" s="145"/>
      <c r="BD78" s="145"/>
      <c r="BE78" s="145"/>
      <c r="BF78" s="145"/>
      <c r="BG78" s="145"/>
      <c r="BH78" s="145"/>
      <c r="BI78" s="145"/>
      <c r="BJ78" s="145"/>
      <c r="BK78" s="145"/>
      <c r="BL78" s="145"/>
      <c r="BM78" s="145"/>
      <c r="BN78" s="145"/>
      <c r="BO78" s="145"/>
      <c r="BP78" s="145">
        <v>0.25</v>
      </c>
      <c r="BQ78" s="145"/>
      <c r="BR78" s="145"/>
      <c r="BS78" s="145"/>
      <c r="BT78" s="145"/>
      <c r="BU78" s="145"/>
      <c r="BV78" s="145"/>
      <c r="BW78" s="145"/>
      <c r="BX78" s="145"/>
      <c r="BY78" s="145"/>
      <c r="BZ78" s="145"/>
      <c r="CA78" s="145"/>
      <c r="CB78" s="145"/>
      <c r="CC78" s="145"/>
      <c r="CD78" s="145"/>
      <c r="CE78" s="145"/>
      <c r="CF78" s="145"/>
      <c r="CG78" s="145"/>
      <c r="CH78" s="145"/>
      <c r="CI78" s="145"/>
      <c r="CJ78" s="145"/>
      <c r="CK78" s="145"/>
      <c r="CL78" s="145"/>
      <c r="CM78" s="145"/>
      <c r="CN78" s="145"/>
      <c r="CO78" s="145"/>
      <c r="CP78" s="145"/>
      <c r="CQ78" s="145"/>
      <c r="CR78" s="145"/>
      <c r="CS78" s="145"/>
      <c r="CT78" s="145"/>
      <c r="CU78" s="145"/>
      <c r="CV78" s="145"/>
      <c r="CW78" s="145"/>
      <c r="CX78" s="145"/>
      <c r="CY78" s="145"/>
      <c r="CZ78" s="145"/>
      <c r="DA78" s="145"/>
      <c r="DB78" s="145"/>
      <c r="DC78" s="145"/>
      <c r="DD78" s="145"/>
      <c r="DE78" s="145"/>
      <c r="DF78" s="145"/>
      <c r="DG78" s="145"/>
      <c r="DH78" s="145"/>
      <c r="DI78" s="145"/>
      <c r="DJ78" s="145"/>
      <c r="DK78" s="145"/>
      <c r="DL78" s="145"/>
      <c r="DM78" s="145"/>
      <c r="DN78" s="145"/>
      <c r="DO78" s="145"/>
      <c r="DP78" s="145"/>
      <c r="DQ78" s="145"/>
      <c r="DR78" s="145"/>
      <c r="DS78" s="145"/>
      <c r="DT78" s="145"/>
      <c r="DU78" s="145"/>
      <c r="DV78" s="145"/>
      <c r="DW78" s="145"/>
      <c r="DX78" s="145"/>
      <c r="DY78" s="145"/>
      <c r="DZ78" s="145"/>
      <c r="EA78" s="145"/>
      <c r="EB78" s="145"/>
      <c r="EC78" s="145"/>
      <c r="ED78" s="145"/>
      <c r="EE78" s="145"/>
      <c r="EF78" s="145"/>
      <c r="EG78" s="145"/>
      <c r="EH78" s="145"/>
      <c r="EI78" s="145"/>
      <c r="EJ78" s="145"/>
      <c r="EK78" s="145"/>
      <c r="EL78" s="145"/>
      <c r="EM78" s="145"/>
      <c r="EN78" s="145"/>
      <c r="EO78" s="145"/>
      <c r="EP78" s="145"/>
      <c r="EQ78" s="145"/>
      <c r="ER78" s="145"/>
      <c r="ES78" s="145"/>
      <c r="ET78" s="145"/>
      <c r="EU78" s="145"/>
      <c r="EV78" s="145"/>
      <c r="EW78" s="145"/>
      <c r="EX78" s="145"/>
      <c r="EY78" s="145"/>
      <c r="EZ78" s="145"/>
      <c r="FA78" s="145"/>
      <c r="FB78" s="145"/>
      <c r="FC78" s="145"/>
      <c r="FD78" s="145"/>
      <c r="FE78" s="145"/>
      <c r="FF78" s="145"/>
      <c r="FG78" s="145"/>
      <c r="FH78" s="145"/>
      <c r="FI78" s="145"/>
      <c r="FJ78" s="145"/>
      <c r="FK78" s="145"/>
      <c r="FL78" s="145"/>
      <c r="FM78" s="145"/>
      <c r="FN78" s="145"/>
      <c r="FO78" s="145"/>
      <c r="FP78" s="145"/>
      <c r="FQ78" s="145"/>
      <c r="FR78" s="145"/>
      <c r="FS78" s="145"/>
      <c r="FT78" s="145"/>
      <c r="FU78" s="145"/>
      <c r="FV78" s="145"/>
      <c r="FW78" s="145"/>
      <c r="FX78" s="145"/>
      <c r="FY78" s="145"/>
      <c r="FZ78" s="145"/>
      <c r="GA78" s="145"/>
      <c r="GB78" s="141"/>
      <c r="GC78" s="141"/>
      <c r="GD78" s="141"/>
      <c r="GE78" s="141"/>
      <c r="GF78" s="141"/>
      <c r="GG78" s="141"/>
      <c r="GH78" s="141"/>
      <c r="GI78" s="141"/>
      <c r="GJ78" s="141"/>
      <c r="GK78" s="141"/>
      <c r="GL78" s="141"/>
      <c r="GM78" s="141"/>
      <c r="GN78" s="141"/>
      <c r="GO78" s="141"/>
      <c r="GP78" s="141"/>
      <c r="GQ78" s="141"/>
      <c r="GR78" s="141"/>
      <c r="GS78" s="141"/>
      <c r="GT78" s="141"/>
      <c r="GU78" s="141"/>
      <c r="GV78" s="141"/>
      <c r="GW78" s="141"/>
      <c r="GX78" s="141"/>
      <c r="GY78" s="141"/>
      <c r="GZ78" s="141"/>
      <c r="HA78" s="141"/>
      <c r="HB78" s="141"/>
      <c r="HC78" s="141"/>
    </row>
    <row r="79" spans="1:211" s="138" customFormat="1">
      <c r="A79" s="133">
        <f t="shared" si="19"/>
        <v>74</v>
      </c>
      <c r="B79" s="139" t="str">
        <f t="shared" ref="B79:B84" si="134">MID(RIGHT(H79,8),1,7)</f>
        <v/>
      </c>
      <c r="C79" s="139" t="str">
        <f t="shared" ref="C79:C84" si="135">MID(RIGHT(I79,8),1,7)</f>
        <v/>
      </c>
      <c r="D79" s="139" t="str">
        <f t="shared" ref="D79:D84" si="136">MID(RIGHT(J79,8),1,7)</f>
        <v>昼ミーティング</v>
      </c>
      <c r="E79" s="139" t="str">
        <f t="shared" ref="E79:E84" si="137">MID(RIGHT(K79,8),1,7)</f>
        <v/>
      </c>
      <c r="H79" s="131"/>
      <c r="I79" s="144"/>
      <c r="J79" s="131" t="s">
        <v>107</v>
      </c>
      <c r="K79" s="135"/>
      <c r="L79" s="136"/>
      <c r="M79" s="130"/>
      <c r="N79" s="134"/>
      <c r="O79" s="136"/>
      <c r="P79" s="136"/>
      <c r="Q79" s="136"/>
      <c r="R79" s="136"/>
      <c r="S79" s="137"/>
      <c r="T79" s="146">
        <v>41000</v>
      </c>
      <c r="U79" s="146"/>
      <c r="V79" s="129"/>
      <c r="W79" s="142" t="s">
        <v>79</v>
      </c>
      <c r="X79" s="146"/>
      <c r="Y79" s="146"/>
      <c r="Z79" s="132">
        <f t="shared" ref="Z79:Z84" ca="1" si="138">IF(SUM(AB79:HC79)=0,"",  SUM(AB79:HC79))</f>
        <v>1</v>
      </c>
      <c r="AA79" s="143"/>
      <c r="AB79" s="140" t="str">
        <f t="shared" ca="1" si="133"/>
        <v>未着手</v>
      </c>
      <c r="AC79" s="145">
        <v>0.25</v>
      </c>
      <c r="AD79" s="145"/>
      <c r="AE79" s="145"/>
      <c r="AF79" s="145"/>
      <c r="AG79" s="145">
        <v>0.25</v>
      </c>
      <c r="AH79" s="145"/>
      <c r="AI79" s="145"/>
      <c r="AJ79" s="145"/>
      <c r="AK79" s="145"/>
      <c r="AL79" s="145"/>
      <c r="AM79" s="145">
        <v>0.25</v>
      </c>
      <c r="AN79" s="145"/>
      <c r="AO79" s="145"/>
      <c r="AP79" s="145"/>
      <c r="AQ79" s="145"/>
      <c r="AR79" s="145"/>
      <c r="AS79" s="145"/>
      <c r="AT79" s="145"/>
      <c r="AU79" s="145"/>
      <c r="AV79" s="145"/>
      <c r="AW79" s="145"/>
      <c r="AX79" s="145"/>
      <c r="AY79" s="145"/>
      <c r="AZ79" s="145">
        <v>0.25</v>
      </c>
      <c r="BA79" s="145"/>
      <c r="BB79" s="145"/>
      <c r="BC79" s="145"/>
      <c r="BD79" s="145"/>
      <c r="BE79" s="145"/>
      <c r="BF79" s="145"/>
      <c r="BG79" s="145"/>
      <c r="BH79" s="145"/>
      <c r="BI79" s="145"/>
      <c r="BJ79" s="145"/>
      <c r="BK79" s="145"/>
      <c r="BL79" s="145"/>
      <c r="BM79" s="145"/>
      <c r="BN79" s="145"/>
      <c r="BO79" s="145"/>
      <c r="BP79" s="145"/>
      <c r="BQ79" s="145"/>
      <c r="BR79" s="145"/>
      <c r="BS79" s="145"/>
      <c r="BT79" s="145"/>
      <c r="BU79" s="145"/>
      <c r="BV79" s="145"/>
      <c r="BW79" s="145"/>
      <c r="BX79" s="145"/>
      <c r="BY79" s="145"/>
      <c r="BZ79" s="145"/>
      <c r="CA79" s="145"/>
      <c r="CB79" s="145"/>
      <c r="CC79" s="145"/>
      <c r="CD79" s="145"/>
      <c r="CE79" s="145"/>
      <c r="CF79" s="145"/>
      <c r="CG79" s="145"/>
      <c r="CH79" s="145"/>
      <c r="CI79" s="145"/>
      <c r="CJ79" s="145"/>
      <c r="CK79" s="145"/>
      <c r="CL79" s="145"/>
      <c r="CM79" s="145"/>
      <c r="CN79" s="145"/>
      <c r="CO79" s="145"/>
      <c r="CP79" s="145"/>
      <c r="CQ79" s="145"/>
      <c r="CR79" s="145"/>
      <c r="CS79" s="145"/>
      <c r="CT79" s="145"/>
      <c r="CU79" s="145"/>
      <c r="CV79" s="145"/>
      <c r="CW79" s="145"/>
      <c r="CX79" s="145"/>
      <c r="CY79" s="145"/>
      <c r="CZ79" s="145"/>
      <c r="DA79" s="145"/>
      <c r="DB79" s="145"/>
      <c r="DC79" s="145"/>
      <c r="DD79" s="145"/>
      <c r="DE79" s="145"/>
      <c r="DF79" s="145"/>
      <c r="DG79" s="145"/>
      <c r="DH79" s="145"/>
      <c r="DI79" s="145"/>
      <c r="DJ79" s="145"/>
      <c r="DK79" s="145"/>
      <c r="DL79" s="145"/>
      <c r="DM79" s="145"/>
      <c r="DN79" s="145"/>
      <c r="DO79" s="145"/>
      <c r="DP79" s="145"/>
      <c r="DQ79" s="145"/>
      <c r="DR79" s="145"/>
      <c r="DS79" s="145"/>
      <c r="DT79" s="145"/>
      <c r="DU79" s="145"/>
      <c r="DV79" s="145"/>
      <c r="DW79" s="145"/>
      <c r="DX79" s="145"/>
      <c r="DY79" s="145"/>
      <c r="DZ79" s="145"/>
      <c r="EA79" s="145"/>
      <c r="EB79" s="145"/>
      <c r="EC79" s="145"/>
      <c r="ED79" s="145"/>
      <c r="EE79" s="145"/>
      <c r="EF79" s="145"/>
      <c r="EG79" s="145"/>
      <c r="EH79" s="145"/>
      <c r="EI79" s="145"/>
      <c r="EJ79" s="145"/>
      <c r="EK79" s="145"/>
      <c r="EL79" s="145"/>
      <c r="EM79" s="145"/>
      <c r="EN79" s="145"/>
      <c r="EO79" s="145"/>
      <c r="EP79" s="145"/>
      <c r="EQ79" s="145"/>
      <c r="ER79" s="145"/>
      <c r="ES79" s="145"/>
      <c r="ET79" s="145"/>
      <c r="EU79" s="145"/>
      <c r="EV79" s="145"/>
      <c r="EW79" s="145"/>
      <c r="EX79" s="145"/>
      <c r="EY79" s="145"/>
      <c r="EZ79" s="145"/>
      <c r="FA79" s="145"/>
      <c r="FB79" s="145"/>
      <c r="FC79" s="145"/>
      <c r="FD79" s="145"/>
      <c r="FE79" s="145"/>
      <c r="FF79" s="145"/>
      <c r="FG79" s="145"/>
      <c r="FH79" s="145"/>
      <c r="FI79" s="145"/>
      <c r="FJ79" s="145"/>
      <c r="FK79" s="145"/>
      <c r="FL79" s="145"/>
      <c r="FM79" s="145"/>
      <c r="FN79" s="145"/>
      <c r="FO79" s="145"/>
      <c r="FP79" s="145"/>
      <c r="FQ79" s="145"/>
      <c r="FR79" s="145"/>
      <c r="FS79" s="145"/>
      <c r="FT79" s="145"/>
      <c r="FU79" s="145"/>
      <c r="FV79" s="145"/>
      <c r="FW79" s="145"/>
      <c r="FX79" s="145"/>
      <c r="FY79" s="145"/>
      <c r="FZ79" s="145"/>
      <c r="GA79" s="145"/>
      <c r="GB79" s="141"/>
      <c r="GC79" s="141"/>
      <c r="GD79" s="141"/>
      <c r="GE79" s="141"/>
      <c r="GF79" s="141"/>
      <c r="GG79" s="141"/>
      <c r="GH79" s="141"/>
      <c r="GI79" s="141"/>
      <c r="GJ79" s="141"/>
      <c r="GK79" s="141"/>
      <c r="GL79" s="141"/>
      <c r="GM79" s="141"/>
      <c r="GN79" s="141"/>
      <c r="GO79" s="141"/>
      <c r="GP79" s="141"/>
      <c r="GQ79" s="141"/>
      <c r="GR79" s="141"/>
      <c r="GS79" s="141"/>
      <c r="GT79" s="141"/>
      <c r="GU79" s="141"/>
      <c r="GV79" s="141"/>
      <c r="GW79" s="141"/>
      <c r="GX79" s="141"/>
      <c r="GY79" s="141"/>
      <c r="GZ79" s="141"/>
      <c r="HA79" s="141"/>
      <c r="HB79" s="141"/>
      <c r="HC79" s="141"/>
    </row>
    <row r="80" spans="1:211" s="138" customFormat="1">
      <c r="A80" s="133">
        <f t="shared" si="19"/>
        <v>75</v>
      </c>
      <c r="B80" s="139" t="str">
        <f t="shared" si="134"/>
        <v/>
      </c>
      <c r="C80" s="139" t="str">
        <f t="shared" si="135"/>
        <v/>
      </c>
      <c r="D80" s="139" t="str">
        <f t="shared" si="136"/>
        <v>開発作業</v>
      </c>
      <c r="E80" s="139" t="str">
        <f t="shared" si="137"/>
        <v/>
      </c>
      <c r="H80" s="131"/>
      <c r="I80" s="144"/>
      <c r="J80" s="131" t="s">
        <v>108</v>
      </c>
      <c r="K80" s="135"/>
      <c r="L80" s="136"/>
      <c r="M80" s="130"/>
      <c r="N80" s="134"/>
      <c r="O80" s="136"/>
      <c r="P80" s="136"/>
      <c r="Q80" s="136"/>
      <c r="R80" s="136"/>
      <c r="S80" s="137"/>
      <c r="T80" s="146">
        <v>41000</v>
      </c>
      <c r="U80" s="146"/>
      <c r="V80" s="129"/>
      <c r="W80" s="142" t="s">
        <v>79</v>
      </c>
      <c r="X80" s="146"/>
      <c r="Y80" s="146"/>
      <c r="Z80" s="132" t="str">
        <f t="shared" ca="1" si="138"/>
        <v/>
      </c>
      <c r="AA80" s="143"/>
      <c r="AB80" s="140" t="str">
        <f t="shared" ca="1" si="133"/>
        <v>未着手</v>
      </c>
      <c r="AC80" s="145"/>
      <c r="AD80" s="145"/>
      <c r="AE80" s="145"/>
      <c r="AF80" s="145"/>
      <c r="AG80" s="145"/>
      <c r="AH80" s="145"/>
      <c r="AI80" s="145"/>
      <c r="AJ80" s="145"/>
      <c r="AK80" s="145"/>
      <c r="AL80" s="145"/>
      <c r="AM80" s="145"/>
      <c r="AN80" s="145"/>
      <c r="AO80" s="145"/>
      <c r="AP80" s="145"/>
      <c r="AQ80" s="145"/>
      <c r="AR80" s="145"/>
      <c r="AS80" s="145"/>
      <c r="AT80" s="145"/>
      <c r="AU80" s="145"/>
      <c r="AV80" s="145"/>
      <c r="AW80" s="145"/>
      <c r="AX80" s="145"/>
      <c r="AY80" s="145"/>
      <c r="AZ80" s="145"/>
      <c r="BA80" s="145"/>
      <c r="BB80" s="145"/>
      <c r="BC80" s="145"/>
      <c r="BD80" s="145"/>
      <c r="BE80" s="145"/>
      <c r="BF80" s="145"/>
      <c r="BG80" s="145"/>
      <c r="BH80" s="145"/>
      <c r="BI80" s="145"/>
      <c r="BJ80" s="145"/>
      <c r="BK80" s="145"/>
      <c r="BL80" s="145"/>
      <c r="BM80" s="145"/>
      <c r="BN80" s="145"/>
      <c r="BO80" s="145"/>
      <c r="BP80" s="145"/>
      <c r="BQ80" s="145"/>
      <c r="BR80" s="145"/>
      <c r="BS80" s="145"/>
      <c r="BT80" s="145"/>
      <c r="BU80" s="145"/>
      <c r="BV80" s="145"/>
      <c r="BW80" s="145"/>
      <c r="BX80" s="145"/>
      <c r="BY80" s="145"/>
      <c r="BZ80" s="145"/>
      <c r="CA80" s="145"/>
      <c r="CB80" s="145"/>
      <c r="CC80" s="145"/>
      <c r="CD80" s="145"/>
      <c r="CE80" s="145"/>
      <c r="CF80" s="145"/>
      <c r="CG80" s="145"/>
      <c r="CH80" s="145"/>
      <c r="CI80" s="145"/>
      <c r="CJ80" s="145"/>
      <c r="CK80" s="145"/>
      <c r="CL80" s="145"/>
      <c r="CM80" s="145"/>
      <c r="CN80" s="145"/>
      <c r="CO80" s="145"/>
      <c r="CP80" s="145"/>
      <c r="CQ80" s="145"/>
      <c r="CR80" s="145"/>
      <c r="CS80" s="145"/>
      <c r="CT80" s="145"/>
      <c r="CU80" s="145"/>
      <c r="CV80" s="145"/>
      <c r="CW80" s="145"/>
      <c r="CX80" s="145"/>
      <c r="CY80" s="145"/>
      <c r="CZ80" s="145"/>
      <c r="DA80" s="145"/>
      <c r="DB80" s="145"/>
      <c r="DC80" s="145"/>
      <c r="DD80" s="145"/>
      <c r="DE80" s="145"/>
      <c r="DF80" s="145"/>
      <c r="DG80" s="145"/>
      <c r="DH80" s="145"/>
      <c r="DI80" s="145"/>
      <c r="DJ80" s="145"/>
      <c r="DK80" s="145"/>
      <c r="DL80" s="145"/>
      <c r="DM80" s="145"/>
      <c r="DN80" s="145"/>
      <c r="DO80" s="145"/>
      <c r="DP80" s="145"/>
      <c r="DQ80" s="145"/>
      <c r="DR80" s="145"/>
      <c r="DS80" s="145"/>
      <c r="DT80" s="145"/>
      <c r="DU80" s="145"/>
      <c r="DV80" s="145"/>
      <c r="DW80" s="145"/>
      <c r="DX80" s="145"/>
      <c r="DY80" s="145"/>
      <c r="DZ80" s="145"/>
      <c r="EA80" s="145"/>
      <c r="EB80" s="145"/>
      <c r="EC80" s="145"/>
      <c r="ED80" s="145"/>
      <c r="EE80" s="145"/>
      <c r="EF80" s="145"/>
      <c r="EG80" s="145"/>
      <c r="EH80" s="145"/>
      <c r="EI80" s="145"/>
      <c r="EJ80" s="145"/>
      <c r="EK80" s="145"/>
      <c r="EL80" s="145"/>
      <c r="EM80" s="145"/>
      <c r="EN80" s="145"/>
      <c r="EO80" s="145"/>
      <c r="EP80" s="145"/>
      <c r="EQ80" s="145"/>
      <c r="ER80" s="145"/>
      <c r="ES80" s="145"/>
      <c r="ET80" s="145"/>
      <c r="EU80" s="145"/>
      <c r="EV80" s="145"/>
      <c r="EW80" s="145"/>
      <c r="EX80" s="145"/>
      <c r="EY80" s="145"/>
      <c r="EZ80" s="145"/>
      <c r="FA80" s="145"/>
      <c r="FB80" s="145"/>
      <c r="FC80" s="145"/>
      <c r="FD80" s="145"/>
      <c r="FE80" s="145"/>
      <c r="FF80" s="145"/>
      <c r="FG80" s="145"/>
      <c r="FH80" s="145"/>
      <c r="FI80" s="145"/>
      <c r="FJ80" s="145"/>
      <c r="FK80" s="145"/>
      <c r="FL80" s="145"/>
      <c r="FM80" s="145"/>
      <c r="FN80" s="145"/>
      <c r="FO80" s="145"/>
      <c r="FP80" s="145"/>
      <c r="FQ80" s="145"/>
      <c r="FR80" s="145"/>
      <c r="FS80" s="145"/>
      <c r="FT80" s="145"/>
      <c r="FU80" s="145"/>
      <c r="FV80" s="145"/>
      <c r="FW80" s="145"/>
      <c r="FX80" s="145"/>
      <c r="FY80" s="145"/>
      <c r="FZ80" s="145"/>
      <c r="GA80" s="145"/>
      <c r="GB80" s="141"/>
      <c r="GC80" s="141"/>
      <c r="GD80" s="141"/>
      <c r="GE80" s="141"/>
      <c r="GF80" s="141"/>
      <c r="GG80" s="141"/>
      <c r="GH80" s="141"/>
      <c r="GI80" s="141"/>
      <c r="GJ80" s="141"/>
      <c r="GK80" s="141"/>
      <c r="GL80" s="141"/>
      <c r="GM80" s="141"/>
      <c r="GN80" s="141"/>
      <c r="GO80" s="141"/>
      <c r="GP80" s="141"/>
      <c r="GQ80" s="141"/>
      <c r="GR80" s="141"/>
      <c r="GS80" s="141"/>
      <c r="GT80" s="141"/>
      <c r="GU80" s="141"/>
      <c r="GV80" s="141"/>
      <c r="GW80" s="141"/>
      <c r="GX80" s="141"/>
      <c r="GY80" s="141"/>
      <c r="GZ80" s="141"/>
      <c r="HA80" s="141"/>
      <c r="HB80" s="141"/>
      <c r="HC80" s="141"/>
    </row>
    <row r="81" spans="1:211" s="138" customFormat="1">
      <c r="A81" s="133">
        <f t="shared" si="19"/>
        <v>76</v>
      </c>
      <c r="B81" s="139" t="str">
        <f t="shared" si="134"/>
        <v/>
      </c>
      <c r="C81" s="139" t="str">
        <f t="shared" si="135"/>
        <v/>
      </c>
      <c r="D81" s="139" t="str">
        <f t="shared" si="136"/>
        <v>引当ミーティン</v>
      </c>
      <c r="E81" s="139" t="str">
        <f t="shared" si="137"/>
        <v/>
      </c>
      <c r="H81" s="131"/>
      <c r="I81" s="144"/>
      <c r="J81" s="131" t="s">
        <v>109</v>
      </c>
      <c r="K81" s="135"/>
      <c r="L81" s="136"/>
      <c r="M81" s="130"/>
      <c r="N81" s="134"/>
      <c r="O81" s="136"/>
      <c r="P81" s="136"/>
      <c r="Q81" s="136"/>
      <c r="R81" s="136"/>
      <c r="S81" s="137"/>
      <c r="T81" s="146">
        <v>41000</v>
      </c>
      <c r="U81" s="146"/>
      <c r="V81" s="129"/>
      <c r="W81" s="142" t="s">
        <v>79</v>
      </c>
      <c r="X81" s="146"/>
      <c r="Y81" s="146"/>
      <c r="Z81" s="132" t="str">
        <f t="shared" ca="1" si="138"/>
        <v/>
      </c>
      <c r="AA81" s="143"/>
      <c r="AB81" s="140" t="str">
        <f t="shared" ca="1" si="133"/>
        <v>未着手</v>
      </c>
      <c r="AC81" s="145"/>
      <c r="AD81" s="145"/>
      <c r="AE81" s="145"/>
      <c r="AF81" s="145"/>
      <c r="AG81" s="145"/>
      <c r="AH81" s="145"/>
      <c r="AI81" s="145"/>
      <c r="AJ81" s="145"/>
      <c r="AK81" s="145"/>
      <c r="AL81" s="145"/>
      <c r="AM81" s="145"/>
      <c r="AN81" s="145"/>
      <c r="AO81" s="145"/>
      <c r="AP81" s="145"/>
      <c r="AQ81" s="145"/>
      <c r="AR81" s="145"/>
      <c r="AS81" s="145"/>
      <c r="AT81" s="145"/>
      <c r="AU81" s="145"/>
      <c r="AV81" s="145"/>
      <c r="AW81" s="145"/>
      <c r="AX81" s="145"/>
      <c r="AY81" s="145"/>
      <c r="AZ81" s="145"/>
      <c r="BA81" s="145"/>
      <c r="BB81" s="145"/>
      <c r="BC81" s="145"/>
      <c r="BD81" s="145"/>
      <c r="BE81" s="145"/>
      <c r="BF81" s="145"/>
      <c r="BG81" s="145"/>
      <c r="BH81" s="145"/>
      <c r="BI81" s="145"/>
      <c r="BJ81" s="145"/>
      <c r="BK81" s="145"/>
      <c r="BL81" s="145"/>
      <c r="BM81" s="145"/>
      <c r="BN81" s="145"/>
      <c r="BO81" s="145"/>
      <c r="BP81" s="145"/>
      <c r="BQ81" s="145"/>
      <c r="BR81" s="145"/>
      <c r="BS81" s="145"/>
      <c r="BT81" s="145"/>
      <c r="BU81" s="145"/>
      <c r="BV81" s="145"/>
      <c r="BW81" s="145"/>
      <c r="BX81" s="145"/>
      <c r="BY81" s="145"/>
      <c r="BZ81" s="145"/>
      <c r="CA81" s="145"/>
      <c r="CB81" s="145"/>
      <c r="CC81" s="145"/>
      <c r="CD81" s="145"/>
      <c r="CE81" s="145"/>
      <c r="CF81" s="145"/>
      <c r="CG81" s="145"/>
      <c r="CH81" s="145"/>
      <c r="CI81" s="145"/>
      <c r="CJ81" s="145"/>
      <c r="CK81" s="145"/>
      <c r="CL81" s="145"/>
      <c r="CM81" s="145"/>
      <c r="CN81" s="145"/>
      <c r="CO81" s="145"/>
      <c r="CP81" s="145"/>
      <c r="CQ81" s="145"/>
      <c r="CR81" s="145"/>
      <c r="CS81" s="145"/>
      <c r="CT81" s="145"/>
      <c r="CU81" s="145"/>
      <c r="CV81" s="145"/>
      <c r="CW81" s="145"/>
      <c r="CX81" s="145"/>
      <c r="CY81" s="145"/>
      <c r="CZ81" s="145"/>
      <c r="DA81" s="145"/>
      <c r="DB81" s="145"/>
      <c r="DC81" s="145"/>
      <c r="DD81" s="145"/>
      <c r="DE81" s="145"/>
      <c r="DF81" s="145"/>
      <c r="DG81" s="145"/>
      <c r="DH81" s="145"/>
      <c r="DI81" s="145"/>
      <c r="DJ81" s="145"/>
      <c r="DK81" s="145"/>
      <c r="DL81" s="145"/>
      <c r="DM81" s="145"/>
      <c r="DN81" s="145"/>
      <c r="DO81" s="145"/>
      <c r="DP81" s="145"/>
      <c r="DQ81" s="145"/>
      <c r="DR81" s="145"/>
      <c r="DS81" s="145"/>
      <c r="DT81" s="145"/>
      <c r="DU81" s="145"/>
      <c r="DV81" s="145"/>
      <c r="DW81" s="145"/>
      <c r="DX81" s="145"/>
      <c r="DY81" s="145"/>
      <c r="DZ81" s="145"/>
      <c r="EA81" s="145"/>
      <c r="EB81" s="145"/>
      <c r="EC81" s="145"/>
      <c r="ED81" s="145"/>
      <c r="EE81" s="145"/>
      <c r="EF81" s="145"/>
      <c r="EG81" s="145"/>
      <c r="EH81" s="145"/>
      <c r="EI81" s="145"/>
      <c r="EJ81" s="145"/>
      <c r="EK81" s="145"/>
      <c r="EL81" s="145"/>
      <c r="EM81" s="145"/>
      <c r="EN81" s="145"/>
      <c r="EO81" s="145"/>
      <c r="EP81" s="145"/>
      <c r="EQ81" s="145"/>
      <c r="ER81" s="145"/>
      <c r="ES81" s="145"/>
      <c r="ET81" s="145"/>
      <c r="EU81" s="145"/>
      <c r="EV81" s="145"/>
      <c r="EW81" s="145"/>
      <c r="EX81" s="145"/>
      <c r="EY81" s="145"/>
      <c r="EZ81" s="145"/>
      <c r="FA81" s="145"/>
      <c r="FB81" s="145"/>
      <c r="FC81" s="145"/>
      <c r="FD81" s="145"/>
      <c r="FE81" s="145"/>
      <c r="FF81" s="145"/>
      <c r="FG81" s="145"/>
      <c r="FH81" s="145"/>
      <c r="FI81" s="145"/>
      <c r="FJ81" s="145"/>
      <c r="FK81" s="145"/>
      <c r="FL81" s="145"/>
      <c r="FM81" s="145"/>
      <c r="FN81" s="145"/>
      <c r="FO81" s="145"/>
      <c r="FP81" s="145"/>
      <c r="FQ81" s="145"/>
      <c r="FR81" s="145"/>
      <c r="FS81" s="145"/>
      <c r="FT81" s="145"/>
      <c r="FU81" s="145"/>
      <c r="FV81" s="145"/>
      <c r="FW81" s="145"/>
      <c r="FX81" s="145"/>
      <c r="FY81" s="145"/>
      <c r="FZ81" s="145"/>
      <c r="GA81" s="145"/>
      <c r="GB81" s="141"/>
      <c r="GC81" s="141"/>
      <c r="GD81" s="141"/>
      <c r="GE81" s="141"/>
      <c r="GF81" s="141"/>
      <c r="GG81" s="141"/>
      <c r="GH81" s="141"/>
      <c r="GI81" s="141"/>
      <c r="GJ81" s="141"/>
      <c r="GK81" s="141"/>
      <c r="GL81" s="141"/>
      <c r="GM81" s="141"/>
      <c r="GN81" s="141"/>
      <c r="GO81" s="141"/>
      <c r="GP81" s="141"/>
      <c r="GQ81" s="141"/>
      <c r="GR81" s="141"/>
      <c r="GS81" s="141"/>
      <c r="GT81" s="141"/>
      <c r="GU81" s="141"/>
      <c r="GV81" s="141"/>
      <c r="GW81" s="141"/>
      <c r="GX81" s="141"/>
      <c r="GY81" s="141"/>
      <c r="GZ81" s="141"/>
      <c r="HA81" s="141"/>
      <c r="HB81" s="141"/>
      <c r="HC81" s="141"/>
    </row>
    <row r="82" spans="1:211" s="138" customFormat="1">
      <c r="A82" s="133">
        <f t="shared" si="19"/>
        <v>77</v>
      </c>
      <c r="B82" s="139" t="str">
        <f t="shared" si="134"/>
        <v/>
      </c>
      <c r="C82" s="139" t="str">
        <f t="shared" si="135"/>
        <v/>
      </c>
      <c r="D82" s="139" t="str">
        <f t="shared" si="136"/>
        <v>論理引当サポー</v>
      </c>
      <c r="E82" s="139" t="str">
        <f t="shared" si="137"/>
        <v/>
      </c>
      <c r="H82" s="131"/>
      <c r="I82" s="144"/>
      <c r="J82" s="131" t="s">
        <v>110</v>
      </c>
      <c r="K82" s="135"/>
      <c r="L82" s="136"/>
      <c r="M82" s="130"/>
      <c r="N82" s="134"/>
      <c r="O82" s="136"/>
      <c r="P82" s="136"/>
      <c r="Q82" s="136"/>
      <c r="R82" s="136"/>
      <c r="S82" s="137"/>
      <c r="T82" s="146">
        <v>41000</v>
      </c>
      <c r="U82" s="146"/>
      <c r="V82" s="129"/>
      <c r="W82" s="142" t="s">
        <v>79</v>
      </c>
      <c r="X82" s="146"/>
      <c r="Y82" s="146"/>
      <c r="Z82" s="132">
        <f t="shared" ca="1" si="138"/>
        <v>1</v>
      </c>
      <c r="AA82" s="143"/>
      <c r="AB82" s="140" t="str">
        <f t="shared" ca="1" si="133"/>
        <v>未着手</v>
      </c>
      <c r="AC82" s="145">
        <v>0.5</v>
      </c>
      <c r="AD82" s="145">
        <v>0.5</v>
      </c>
      <c r="AE82" s="145"/>
      <c r="AF82" s="145"/>
      <c r="AG82" s="145"/>
      <c r="AH82" s="145"/>
      <c r="AI82" s="145"/>
      <c r="AJ82" s="145"/>
      <c r="AK82" s="145"/>
      <c r="AL82" s="145"/>
      <c r="AM82" s="145"/>
      <c r="AN82" s="145"/>
      <c r="AO82" s="145"/>
      <c r="AP82" s="145"/>
      <c r="AQ82" s="145"/>
      <c r="AR82" s="145"/>
      <c r="AS82" s="145"/>
      <c r="AT82" s="145"/>
      <c r="AU82" s="145"/>
      <c r="AV82" s="145"/>
      <c r="AW82" s="145"/>
      <c r="AX82" s="145"/>
      <c r="AY82" s="145"/>
      <c r="AZ82" s="145"/>
      <c r="BA82" s="145"/>
      <c r="BB82" s="145"/>
      <c r="BC82" s="145"/>
      <c r="BD82" s="145"/>
      <c r="BE82" s="145"/>
      <c r="BF82" s="145"/>
      <c r="BG82" s="145"/>
      <c r="BH82" s="145"/>
      <c r="BI82" s="145"/>
      <c r="BJ82" s="145"/>
      <c r="BK82" s="145"/>
      <c r="BL82" s="145"/>
      <c r="BM82" s="145"/>
      <c r="BN82" s="145"/>
      <c r="BO82" s="145"/>
      <c r="BP82" s="145"/>
      <c r="BQ82" s="145"/>
      <c r="BR82" s="145"/>
      <c r="BS82" s="145"/>
      <c r="BT82" s="145"/>
      <c r="BU82" s="145"/>
      <c r="BV82" s="145"/>
      <c r="BW82" s="145"/>
      <c r="BX82" s="145"/>
      <c r="BY82" s="145"/>
      <c r="BZ82" s="145"/>
      <c r="CA82" s="145"/>
      <c r="CB82" s="145"/>
      <c r="CC82" s="145"/>
      <c r="CD82" s="145"/>
      <c r="CE82" s="145"/>
      <c r="CF82" s="145"/>
      <c r="CG82" s="145"/>
      <c r="CH82" s="145"/>
      <c r="CI82" s="145"/>
      <c r="CJ82" s="145"/>
      <c r="CK82" s="145"/>
      <c r="CL82" s="145"/>
      <c r="CM82" s="145"/>
      <c r="CN82" s="145"/>
      <c r="CO82" s="145"/>
      <c r="CP82" s="145"/>
      <c r="CQ82" s="145"/>
      <c r="CR82" s="145"/>
      <c r="CS82" s="145"/>
      <c r="CT82" s="145"/>
      <c r="CU82" s="145"/>
      <c r="CV82" s="145"/>
      <c r="CW82" s="145"/>
      <c r="CX82" s="145"/>
      <c r="CY82" s="145"/>
      <c r="CZ82" s="145"/>
      <c r="DA82" s="145"/>
      <c r="DB82" s="145"/>
      <c r="DC82" s="145"/>
      <c r="DD82" s="145"/>
      <c r="DE82" s="145"/>
      <c r="DF82" s="145"/>
      <c r="DG82" s="145"/>
      <c r="DH82" s="145"/>
      <c r="DI82" s="145"/>
      <c r="DJ82" s="145"/>
      <c r="DK82" s="145"/>
      <c r="DL82" s="145"/>
      <c r="DM82" s="145"/>
      <c r="DN82" s="145"/>
      <c r="DO82" s="145"/>
      <c r="DP82" s="145"/>
      <c r="DQ82" s="145"/>
      <c r="DR82" s="145"/>
      <c r="DS82" s="145"/>
      <c r="DT82" s="145"/>
      <c r="DU82" s="145"/>
      <c r="DV82" s="145"/>
      <c r="DW82" s="145"/>
      <c r="DX82" s="145"/>
      <c r="DY82" s="145"/>
      <c r="DZ82" s="145"/>
      <c r="EA82" s="145"/>
      <c r="EB82" s="145"/>
      <c r="EC82" s="145"/>
      <c r="ED82" s="145"/>
      <c r="EE82" s="145"/>
      <c r="EF82" s="145"/>
      <c r="EG82" s="145"/>
      <c r="EH82" s="145"/>
      <c r="EI82" s="145"/>
      <c r="EJ82" s="145"/>
      <c r="EK82" s="145"/>
      <c r="EL82" s="145"/>
      <c r="EM82" s="145"/>
      <c r="EN82" s="145"/>
      <c r="EO82" s="145"/>
      <c r="EP82" s="145"/>
      <c r="EQ82" s="145"/>
      <c r="ER82" s="145"/>
      <c r="ES82" s="145"/>
      <c r="ET82" s="145"/>
      <c r="EU82" s="145"/>
      <c r="EV82" s="145"/>
      <c r="EW82" s="145"/>
      <c r="EX82" s="145"/>
      <c r="EY82" s="145"/>
      <c r="EZ82" s="145"/>
      <c r="FA82" s="145"/>
      <c r="FB82" s="145"/>
      <c r="FC82" s="145"/>
      <c r="FD82" s="145"/>
      <c r="FE82" s="145"/>
      <c r="FF82" s="145"/>
      <c r="FG82" s="145"/>
      <c r="FH82" s="145"/>
      <c r="FI82" s="145"/>
      <c r="FJ82" s="145"/>
      <c r="FK82" s="145"/>
      <c r="FL82" s="145"/>
      <c r="FM82" s="145"/>
      <c r="FN82" s="145"/>
      <c r="FO82" s="145"/>
      <c r="FP82" s="145"/>
      <c r="FQ82" s="145"/>
      <c r="FR82" s="145"/>
      <c r="FS82" s="145"/>
      <c r="FT82" s="145"/>
      <c r="FU82" s="145"/>
      <c r="FV82" s="145"/>
      <c r="FW82" s="145"/>
      <c r="FX82" s="145"/>
      <c r="FY82" s="145"/>
      <c r="FZ82" s="145"/>
      <c r="GA82" s="145"/>
      <c r="GB82" s="141"/>
      <c r="GC82" s="141"/>
      <c r="GD82" s="141"/>
      <c r="GE82" s="141"/>
      <c r="GF82" s="141"/>
      <c r="GG82" s="141"/>
      <c r="GH82" s="141"/>
      <c r="GI82" s="141"/>
      <c r="GJ82" s="141"/>
      <c r="GK82" s="141"/>
      <c r="GL82" s="141"/>
      <c r="GM82" s="141"/>
      <c r="GN82" s="141"/>
      <c r="GO82" s="141"/>
      <c r="GP82" s="141"/>
      <c r="GQ82" s="141"/>
      <c r="GR82" s="141"/>
      <c r="GS82" s="141"/>
      <c r="GT82" s="141"/>
      <c r="GU82" s="141"/>
      <c r="GV82" s="141"/>
      <c r="GW82" s="141"/>
      <c r="GX82" s="141"/>
      <c r="GY82" s="141"/>
      <c r="GZ82" s="141"/>
      <c r="HA82" s="141"/>
      <c r="HB82" s="141"/>
      <c r="HC82" s="141"/>
    </row>
    <row r="83" spans="1:211" s="138" customFormat="1">
      <c r="A83" s="133">
        <f>ROW()-5</f>
        <v>78</v>
      </c>
      <c r="B83" s="139" t="str">
        <f>MID(RIGHT(H83,8),1,7)</f>
        <v/>
      </c>
      <c r="C83" s="139" t="str">
        <f>MID(RIGHT(I83,8),1,7)</f>
        <v/>
      </c>
      <c r="D83" s="139" t="str">
        <f>MID(RIGHT(J83,8),1,7)</f>
        <v>下流サポート</v>
      </c>
      <c r="E83" s="139" t="str">
        <f>MID(RIGHT(K83,8),1,7)</f>
        <v/>
      </c>
      <c r="H83" s="131"/>
      <c r="I83" s="144"/>
      <c r="J83" s="131" t="s">
        <v>134</v>
      </c>
      <c r="K83" s="135"/>
      <c r="L83" s="136"/>
      <c r="M83" s="130"/>
      <c r="N83" s="134"/>
      <c r="O83" s="136"/>
      <c r="P83" s="136"/>
      <c r="Q83" s="136"/>
      <c r="R83" s="136"/>
      <c r="S83" s="137"/>
      <c r="T83" s="146">
        <v>41000</v>
      </c>
      <c r="U83" s="146"/>
      <c r="V83" s="129"/>
      <c r="W83" s="142" t="s">
        <v>133</v>
      </c>
      <c r="X83" s="146"/>
      <c r="Y83" s="146"/>
      <c r="Z83" s="132">
        <f ca="1">IF(SUM(AB83:HC83)=0,"",  SUM(AB83:HC83))</f>
        <v>12.75</v>
      </c>
      <c r="AA83" s="143"/>
      <c r="AB83" s="140" t="str">
        <f ca="1">IF($T83="","",IF($X83="",IF($T83&lt;TODAY(),"未着手","予定"),IF($Y83="",IF($U83&lt;TODAY(),"遅延","仕掛"),"完了")))</f>
        <v>未着手</v>
      </c>
      <c r="AC83" s="145">
        <v>1</v>
      </c>
      <c r="AD83" s="145">
        <v>0.5</v>
      </c>
      <c r="AE83" s="145"/>
      <c r="AF83" s="145">
        <v>0.25</v>
      </c>
      <c r="AG83" s="145">
        <v>0.25</v>
      </c>
      <c r="AH83" s="145"/>
      <c r="AI83" s="145"/>
      <c r="AJ83" s="145">
        <v>0.25</v>
      </c>
      <c r="AK83" s="145">
        <v>1</v>
      </c>
      <c r="AL83" s="145">
        <v>1</v>
      </c>
      <c r="AM83" s="145">
        <v>0.5</v>
      </c>
      <c r="AN83" s="145">
        <v>0.75</v>
      </c>
      <c r="AO83" s="145"/>
      <c r="AP83" s="145"/>
      <c r="AQ83" s="145">
        <v>0.75</v>
      </c>
      <c r="AR83" s="145">
        <v>2</v>
      </c>
      <c r="AS83" s="145">
        <v>0.75</v>
      </c>
      <c r="AT83" s="145">
        <v>1.25</v>
      </c>
      <c r="AU83" s="145">
        <v>1</v>
      </c>
      <c r="AV83" s="145"/>
      <c r="AW83" s="145"/>
      <c r="AX83" s="145"/>
      <c r="AY83" s="145"/>
      <c r="AZ83" s="145">
        <v>0.5</v>
      </c>
      <c r="BA83" s="145"/>
      <c r="BB83" s="145"/>
      <c r="BC83" s="145">
        <v>1</v>
      </c>
      <c r="BD83" s="145"/>
      <c r="BE83" s="145"/>
      <c r="BF83" s="145"/>
      <c r="BG83" s="145"/>
      <c r="BH83" s="145"/>
      <c r="BI83" s="145"/>
      <c r="BJ83" s="145"/>
      <c r="BK83" s="145"/>
      <c r="BL83" s="145"/>
      <c r="BM83" s="145"/>
      <c r="BN83" s="145"/>
      <c r="BO83" s="145"/>
      <c r="BP83" s="145"/>
      <c r="BQ83" s="145"/>
      <c r="BR83" s="145"/>
      <c r="BS83" s="145"/>
      <c r="BT83" s="145"/>
      <c r="BU83" s="145"/>
      <c r="BV83" s="145"/>
      <c r="BW83" s="145"/>
      <c r="BX83" s="145"/>
      <c r="BY83" s="145"/>
      <c r="BZ83" s="145"/>
      <c r="CA83" s="145"/>
      <c r="CB83" s="145"/>
      <c r="CC83" s="145"/>
      <c r="CD83" s="145"/>
      <c r="CE83" s="145"/>
      <c r="CF83" s="145"/>
      <c r="CG83" s="145"/>
      <c r="CH83" s="145"/>
      <c r="CI83" s="145"/>
      <c r="CJ83" s="145"/>
      <c r="CK83" s="145"/>
      <c r="CL83" s="145"/>
      <c r="CM83" s="145"/>
      <c r="CN83" s="145"/>
      <c r="CO83" s="145"/>
      <c r="CP83" s="145"/>
      <c r="CQ83" s="145"/>
      <c r="CR83" s="145"/>
      <c r="CS83" s="145"/>
      <c r="CT83" s="145"/>
      <c r="CU83" s="145"/>
      <c r="CV83" s="145"/>
      <c r="CW83" s="145"/>
      <c r="CX83" s="145"/>
      <c r="CY83" s="145"/>
      <c r="CZ83" s="145"/>
      <c r="DA83" s="145"/>
      <c r="DB83" s="145"/>
      <c r="DC83" s="145"/>
      <c r="DD83" s="145"/>
      <c r="DE83" s="145"/>
      <c r="DF83" s="145"/>
      <c r="DG83" s="145"/>
      <c r="DH83" s="145"/>
      <c r="DI83" s="145"/>
      <c r="DJ83" s="145"/>
      <c r="DK83" s="145"/>
      <c r="DL83" s="145"/>
      <c r="DM83" s="145"/>
      <c r="DN83" s="145"/>
      <c r="DO83" s="145"/>
      <c r="DP83" s="145"/>
      <c r="DQ83" s="145"/>
      <c r="DR83" s="145"/>
      <c r="DS83" s="145"/>
      <c r="DT83" s="145"/>
      <c r="DU83" s="145"/>
      <c r="DV83" s="145"/>
      <c r="DW83" s="145"/>
      <c r="DX83" s="145"/>
      <c r="DY83" s="145"/>
      <c r="DZ83" s="145"/>
      <c r="EA83" s="145"/>
      <c r="EB83" s="145"/>
      <c r="EC83" s="145"/>
      <c r="ED83" s="145"/>
      <c r="EE83" s="145"/>
      <c r="EF83" s="145"/>
      <c r="EG83" s="145"/>
      <c r="EH83" s="145"/>
      <c r="EI83" s="145"/>
      <c r="EJ83" s="145"/>
      <c r="EK83" s="145"/>
      <c r="EL83" s="145"/>
      <c r="EM83" s="145"/>
      <c r="EN83" s="145"/>
      <c r="EO83" s="145"/>
      <c r="EP83" s="145"/>
      <c r="EQ83" s="145"/>
      <c r="ER83" s="145"/>
      <c r="ES83" s="145"/>
      <c r="ET83" s="145"/>
      <c r="EU83" s="145"/>
      <c r="EV83" s="145"/>
      <c r="EW83" s="145"/>
      <c r="EX83" s="145"/>
      <c r="EY83" s="145"/>
      <c r="EZ83" s="145"/>
      <c r="FA83" s="145"/>
      <c r="FB83" s="145"/>
      <c r="FC83" s="145"/>
      <c r="FD83" s="145"/>
      <c r="FE83" s="145"/>
      <c r="FF83" s="145"/>
      <c r="FG83" s="145"/>
      <c r="FH83" s="145"/>
      <c r="FI83" s="145"/>
      <c r="FJ83" s="145"/>
      <c r="FK83" s="145"/>
      <c r="FL83" s="145"/>
      <c r="FM83" s="145"/>
      <c r="FN83" s="145"/>
      <c r="FO83" s="145"/>
      <c r="FP83" s="145"/>
      <c r="FQ83" s="145"/>
      <c r="FR83" s="145"/>
      <c r="FS83" s="145"/>
      <c r="FT83" s="145"/>
      <c r="FU83" s="145"/>
      <c r="FV83" s="145"/>
      <c r="FW83" s="145"/>
      <c r="FX83" s="145"/>
      <c r="FY83" s="145"/>
      <c r="FZ83" s="145"/>
      <c r="GA83" s="145"/>
      <c r="GB83" s="141"/>
      <c r="GC83" s="141"/>
      <c r="GD83" s="141"/>
      <c r="GE83" s="141"/>
      <c r="GF83" s="141"/>
      <c r="GG83" s="141"/>
      <c r="GH83" s="141"/>
      <c r="GI83" s="141"/>
      <c r="GJ83" s="141"/>
      <c r="GK83" s="141"/>
      <c r="GL83" s="141"/>
      <c r="GM83" s="141"/>
      <c r="GN83" s="141"/>
      <c r="GO83" s="141"/>
      <c r="GP83" s="141"/>
      <c r="GQ83" s="141"/>
      <c r="GR83" s="141"/>
      <c r="GS83" s="141"/>
      <c r="GT83" s="141"/>
      <c r="GU83" s="141"/>
      <c r="GV83" s="141"/>
      <c r="GW83" s="141"/>
      <c r="GX83" s="141"/>
      <c r="GY83" s="141"/>
      <c r="GZ83" s="141"/>
      <c r="HA83" s="141"/>
      <c r="HB83" s="141"/>
      <c r="HC83" s="141"/>
    </row>
    <row r="84" spans="1:211" s="138" customFormat="1">
      <c r="A84" s="133">
        <f t="shared" si="19"/>
        <v>79</v>
      </c>
      <c r="B84" s="139" t="str">
        <f t="shared" si="134"/>
        <v/>
      </c>
      <c r="C84" s="139" t="str">
        <f t="shared" si="135"/>
        <v/>
      </c>
      <c r="D84" s="139" t="str">
        <f t="shared" si="136"/>
        <v>シュート(開発</v>
      </c>
      <c r="E84" s="139" t="str">
        <f t="shared" si="137"/>
        <v/>
      </c>
      <c r="H84" s="131"/>
      <c r="I84" s="144"/>
      <c r="J84" s="131" t="s">
        <v>111</v>
      </c>
      <c r="K84" s="135"/>
      <c r="L84" s="136"/>
      <c r="M84" s="130"/>
      <c r="N84" s="134"/>
      <c r="O84" s="136"/>
      <c r="P84" s="136"/>
      <c r="Q84" s="136"/>
      <c r="R84" s="136"/>
      <c r="S84" s="137"/>
      <c r="T84" s="146">
        <v>41000</v>
      </c>
      <c r="U84" s="146"/>
      <c r="V84" s="129"/>
      <c r="W84" s="142" t="s">
        <v>79</v>
      </c>
      <c r="X84" s="146"/>
      <c r="Y84" s="146"/>
      <c r="Z84" s="132" t="str">
        <f t="shared" ca="1" si="138"/>
        <v/>
      </c>
      <c r="AA84" s="143"/>
      <c r="AB84" s="140" t="str">
        <f t="shared" ca="1" si="133"/>
        <v>未着手</v>
      </c>
      <c r="AC84" s="145"/>
      <c r="AD84" s="145"/>
      <c r="AE84" s="145"/>
      <c r="AF84" s="145"/>
      <c r="AG84" s="145"/>
      <c r="AH84" s="145"/>
      <c r="AI84" s="145"/>
      <c r="AJ84" s="145"/>
      <c r="AK84" s="145"/>
      <c r="AL84" s="145"/>
      <c r="AM84" s="145"/>
      <c r="AN84" s="145"/>
      <c r="AO84" s="145"/>
      <c r="AP84" s="145"/>
      <c r="AQ84" s="145"/>
      <c r="AR84" s="145"/>
      <c r="AS84" s="145"/>
      <c r="AT84" s="145"/>
      <c r="AU84" s="145"/>
      <c r="AV84" s="145"/>
      <c r="AW84" s="145"/>
      <c r="AX84" s="145"/>
      <c r="AY84" s="145"/>
      <c r="AZ84" s="145"/>
      <c r="BA84" s="145"/>
      <c r="BB84" s="145"/>
      <c r="BC84" s="145"/>
      <c r="BD84" s="145"/>
      <c r="BE84" s="145"/>
      <c r="BF84" s="145"/>
      <c r="BG84" s="145"/>
      <c r="BH84" s="145"/>
      <c r="BI84" s="145"/>
      <c r="BJ84" s="145"/>
      <c r="BK84" s="145"/>
      <c r="BL84" s="145"/>
      <c r="BM84" s="145"/>
      <c r="BN84" s="145"/>
      <c r="BO84" s="145"/>
      <c r="BP84" s="145"/>
      <c r="BQ84" s="145"/>
      <c r="BR84" s="145"/>
      <c r="BS84" s="145"/>
      <c r="BT84" s="145"/>
      <c r="BU84" s="145"/>
      <c r="BV84" s="145"/>
      <c r="BW84" s="145"/>
      <c r="BX84" s="145"/>
      <c r="BY84" s="145"/>
      <c r="BZ84" s="145"/>
      <c r="CA84" s="145"/>
      <c r="CB84" s="145"/>
      <c r="CC84" s="145"/>
      <c r="CD84" s="145"/>
      <c r="CE84" s="145"/>
      <c r="CF84" s="145"/>
      <c r="CG84" s="145"/>
      <c r="CH84" s="145"/>
      <c r="CI84" s="145"/>
      <c r="CJ84" s="145"/>
      <c r="CK84" s="145"/>
      <c r="CL84" s="145"/>
      <c r="CM84" s="145"/>
      <c r="CN84" s="145"/>
      <c r="CO84" s="145"/>
      <c r="CP84" s="145"/>
      <c r="CQ84" s="145"/>
      <c r="CR84" s="145"/>
      <c r="CS84" s="145"/>
      <c r="CT84" s="145"/>
      <c r="CU84" s="145"/>
      <c r="CV84" s="145"/>
      <c r="CW84" s="145"/>
      <c r="CX84" s="145"/>
      <c r="CY84" s="145"/>
      <c r="CZ84" s="145"/>
      <c r="DA84" s="145"/>
      <c r="DB84" s="145"/>
      <c r="DC84" s="145"/>
      <c r="DD84" s="145"/>
      <c r="DE84" s="145"/>
      <c r="DF84" s="145"/>
      <c r="DG84" s="145"/>
      <c r="DH84" s="145"/>
      <c r="DI84" s="145"/>
      <c r="DJ84" s="145"/>
      <c r="DK84" s="145"/>
      <c r="DL84" s="145"/>
      <c r="DM84" s="145"/>
      <c r="DN84" s="145"/>
      <c r="DO84" s="145"/>
      <c r="DP84" s="145"/>
      <c r="DQ84" s="145"/>
      <c r="DR84" s="145"/>
      <c r="DS84" s="145"/>
      <c r="DT84" s="145"/>
      <c r="DU84" s="145"/>
      <c r="DV84" s="145"/>
      <c r="DW84" s="145"/>
      <c r="DX84" s="145"/>
      <c r="DY84" s="145"/>
      <c r="DZ84" s="145"/>
      <c r="EA84" s="145"/>
      <c r="EB84" s="145"/>
      <c r="EC84" s="145"/>
      <c r="ED84" s="145"/>
      <c r="EE84" s="145"/>
      <c r="EF84" s="145"/>
      <c r="EG84" s="145"/>
      <c r="EH84" s="145"/>
      <c r="EI84" s="145"/>
      <c r="EJ84" s="145"/>
      <c r="EK84" s="145"/>
      <c r="EL84" s="145"/>
      <c r="EM84" s="145"/>
      <c r="EN84" s="145"/>
      <c r="EO84" s="145"/>
      <c r="EP84" s="145"/>
      <c r="EQ84" s="145"/>
      <c r="ER84" s="145"/>
      <c r="ES84" s="145"/>
      <c r="ET84" s="145"/>
      <c r="EU84" s="145"/>
      <c r="EV84" s="145"/>
      <c r="EW84" s="145"/>
      <c r="EX84" s="145"/>
      <c r="EY84" s="145"/>
      <c r="EZ84" s="145"/>
      <c r="FA84" s="145"/>
      <c r="FB84" s="145"/>
      <c r="FC84" s="145"/>
      <c r="FD84" s="145"/>
      <c r="FE84" s="145"/>
      <c r="FF84" s="145"/>
      <c r="FG84" s="145"/>
      <c r="FH84" s="145"/>
      <c r="FI84" s="145"/>
      <c r="FJ84" s="145"/>
      <c r="FK84" s="145"/>
      <c r="FL84" s="145"/>
      <c r="FM84" s="145"/>
      <c r="FN84" s="145"/>
      <c r="FO84" s="145"/>
      <c r="FP84" s="145"/>
      <c r="FQ84" s="145"/>
      <c r="FR84" s="145"/>
      <c r="FS84" s="145"/>
      <c r="FT84" s="145"/>
      <c r="FU84" s="145"/>
      <c r="FV84" s="145"/>
      <c r="FW84" s="145"/>
      <c r="FX84" s="145"/>
      <c r="FY84" s="145"/>
      <c r="FZ84" s="145"/>
      <c r="GA84" s="145"/>
      <c r="GB84" s="141"/>
      <c r="GC84" s="141"/>
      <c r="GD84" s="141"/>
      <c r="GE84" s="141"/>
      <c r="GF84" s="141"/>
      <c r="GG84" s="141"/>
      <c r="GH84" s="141"/>
      <c r="GI84" s="141"/>
      <c r="GJ84" s="141"/>
      <c r="GK84" s="141"/>
      <c r="GL84" s="141"/>
      <c r="GM84" s="141"/>
      <c r="GN84" s="141"/>
      <c r="GO84" s="141"/>
      <c r="GP84" s="141"/>
      <c r="GQ84" s="141"/>
      <c r="GR84" s="141"/>
      <c r="GS84" s="141"/>
      <c r="GT84" s="141"/>
      <c r="GU84" s="141"/>
      <c r="GV84" s="141"/>
      <c r="GW84" s="141"/>
      <c r="GX84" s="141"/>
      <c r="GY84" s="141"/>
      <c r="GZ84" s="141"/>
      <c r="HA84" s="141"/>
      <c r="HB84" s="141"/>
      <c r="HC84" s="141"/>
    </row>
    <row r="85" spans="1:211" s="138" customFormat="1">
      <c r="A85" s="133">
        <f t="shared" si="19"/>
        <v>80</v>
      </c>
      <c r="B85" s="139" t="str">
        <f t="shared" ref="B85" si="139">MID(RIGHT(H85,8),1,7)</f>
        <v/>
      </c>
      <c r="C85" s="139" t="str">
        <f t="shared" ref="C85" si="140">MID(RIGHT(I85,8),1,7)</f>
        <v/>
      </c>
      <c r="D85" s="139" t="str">
        <f t="shared" ref="D85" si="141">MID(RIGHT(J85,8),1,7)</f>
        <v>分散再構築会議</v>
      </c>
      <c r="E85" s="139" t="str">
        <f t="shared" ref="E85" si="142">MID(RIGHT(K85,8),1,7)</f>
        <v/>
      </c>
      <c r="H85" s="131"/>
      <c r="I85" s="144"/>
      <c r="J85" s="131" t="s">
        <v>151</v>
      </c>
      <c r="K85" s="135"/>
      <c r="L85" s="136"/>
      <c r="M85" s="130"/>
      <c r="N85" s="134"/>
      <c r="O85" s="136"/>
      <c r="P85" s="136"/>
      <c r="Q85" s="136"/>
      <c r="R85" s="136"/>
      <c r="S85" s="137"/>
      <c r="T85" s="146">
        <v>41000</v>
      </c>
      <c r="U85" s="146"/>
      <c r="V85" s="129"/>
      <c r="W85" s="142" t="s">
        <v>79</v>
      </c>
      <c r="X85" s="146"/>
      <c r="Y85" s="146"/>
      <c r="Z85" s="132">
        <f t="shared" ref="Z85" ca="1" si="143">IF(SUM(AB85:HC85)=0,"",  SUM(AB85:HC85))</f>
        <v>3</v>
      </c>
      <c r="AA85" s="143"/>
      <c r="AB85" s="140" t="str">
        <f t="shared" ca="1" si="133"/>
        <v>未着手</v>
      </c>
      <c r="AC85" s="145"/>
      <c r="AD85" s="145"/>
      <c r="AE85" s="145"/>
      <c r="AF85" s="145"/>
      <c r="AG85" s="145"/>
      <c r="AH85" s="145"/>
      <c r="AI85" s="145"/>
      <c r="AJ85" s="145"/>
      <c r="AK85" s="145"/>
      <c r="AL85" s="145"/>
      <c r="AM85" s="145"/>
      <c r="AN85" s="145"/>
      <c r="AO85" s="145"/>
      <c r="AP85" s="145"/>
      <c r="AQ85" s="145"/>
      <c r="AR85" s="145"/>
      <c r="AS85" s="145"/>
      <c r="AT85" s="145"/>
      <c r="AU85" s="145">
        <v>1</v>
      </c>
      <c r="AV85" s="145"/>
      <c r="AW85" s="145"/>
      <c r="AX85" s="145"/>
      <c r="AY85" s="145"/>
      <c r="AZ85" s="145"/>
      <c r="BA85" s="145">
        <v>2</v>
      </c>
      <c r="BB85" s="145"/>
      <c r="BC85" s="145"/>
      <c r="BD85" s="145"/>
      <c r="BE85" s="145"/>
      <c r="BF85" s="145"/>
      <c r="BG85" s="145"/>
      <c r="BH85" s="145"/>
      <c r="BI85" s="145"/>
      <c r="BJ85" s="145"/>
      <c r="BK85" s="145"/>
      <c r="BL85" s="145"/>
      <c r="BM85" s="145"/>
      <c r="BN85" s="145"/>
      <c r="BO85" s="145"/>
      <c r="BP85" s="145"/>
      <c r="BQ85" s="145"/>
      <c r="BR85" s="145"/>
      <c r="BS85" s="145"/>
      <c r="BT85" s="145"/>
      <c r="BU85" s="145"/>
      <c r="BV85" s="145"/>
      <c r="BW85" s="145"/>
      <c r="BX85" s="145"/>
      <c r="BY85" s="145"/>
      <c r="BZ85" s="145"/>
      <c r="CA85" s="145"/>
      <c r="CB85" s="145"/>
      <c r="CC85" s="145"/>
      <c r="CD85" s="145"/>
      <c r="CE85" s="145"/>
      <c r="CF85" s="145"/>
      <c r="CG85" s="145"/>
      <c r="CH85" s="145"/>
      <c r="CI85" s="145"/>
      <c r="CJ85" s="145"/>
      <c r="CK85" s="145"/>
      <c r="CL85" s="145"/>
      <c r="CM85" s="145"/>
      <c r="CN85" s="145"/>
      <c r="CO85" s="145"/>
      <c r="CP85" s="145"/>
      <c r="CQ85" s="145"/>
      <c r="CR85" s="145"/>
      <c r="CS85" s="145"/>
      <c r="CT85" s="145"/>
      <c r="CU85" s="145"/>
      <c r="CV85" s="145"/>
      <c r="CW85" s="145"/>
      <c r="CX85" s="145"/>
      <c r="CY85" s="145"/>
      <c r="CZ85" s="145"/>
      <c r="DA85" s="145"/>
      <c r="DB85" s="145"/>
      <c r="DC85" s="145"/>
      <c r="DD85" s="145"/>
      <c r="DE85" s="145"/>
      <c r="DF85" s="145"/>
      <c r="DG85" s="145"/>
      <c r="DH85" s="145"/>
      <c r="DI85" s="145"/>
      <c r="DJ85" s="145"/>
      <c r="DK85" s="145"/>
      <c r="DL85" s="145"/>
      <c r="DM85" s="145"/>
      <c r="DN85" s="145"/>
      <c r="DO85" s="145"/>
      <c r="DP85" s="145"/>
      <c r="DQ85" s="145"/>
      <c r="DR85" s="145"/>
      <c r="DS85" s="145"/>
      <c r="DT85" s="145"/>
      <c r="DU85" s="145"/>
      <c r="DV85" s="145"/>
      <c r="DW85" s="145"/>
      <c r="DX85" s="145"/>
      <c r="DY85" s="145"/>
      <c r="DZ85" s="145"/>
      <c r="EA85" s="145"/>
      <c r="EB85" s="145"/>
      <c r="EC85" s="145"/>
      <c r="ED85" s="145"/>
      <c r="EE85" s="145"/>
      <c r="EF85" s="145"/>
      <c r="EG85" s="145"/>
      <c r="EH85" s="145"/>
      <c r="EI85" s="145"/>
      <c r="EJ85" s="145"/>
      <c r="EK85" s="145"/>
      <c r="EL85" s="145"/>
      <c r="EM85" s="145"/>
      <c r="EN85" s="145"/>
      <c r="EO85" s="145"/>
      <c r="EP85" s="145"/>
      <c r="EQ85" s="145"/>
      <c r="ER85" s="145"/>
      <c r="ES85" s="145"/>
      <c r="ET85" s="145"/>
      <c r="EU85" s="145"/>
      <c r="EV85" s="145"/>
      <c r="EW85" s="145"/>
      <c r="EX85" s="145"/>
      <c r="EY85" s="145"/>
      <c r="EZ85" s="145"/>
      <c r="FA85" s="145"/>
      <c r="FB85" s="145"/>
      <c r="FC85" s="145"/>
      <c r="FD85" s="145"/>
      <c r="FE85" s="145"/>
      <c r="FF85" s="145"/>
      <c r="FG85" s="145"/>
      <c r="FH85" s="145"/>
      <c r="FI85" s="145"/>
      <c r="FJ85" s="145"/>
      <c r="FK85" s="145"/>
      <c r="FL85" s="145"/>
      <c r="FM85" s="145"/>
      <c r="FN85" s="145"/>
      <c r="FO85" s="145"/>
      <c r="FP85" s="145"/>
      <c r="FQ85" s="145"/>
      <c r="FR85" s="145"/>
      <c r="FS85" s="145"/>
      <c r="FT85" s="145"/>
      <c r="FU85" s="145"/>
      <c r="FV85" s="145"/>
      <c r="FW85" s="145"/>
      <c r="FX85" s="145"/>
      <c r="FY85" s="145"/>
      <c r="FZ85" s="145"/>
      <c r="GA85" s="145"/>
      <c r="GB85" s="141"/>
      <c r="GC85" s="141"/>
      <c r="GD85" s="141"/>
      <c r="GE85" s="141"/>
      <c r="GF85" s="141"/>
      <c r="GG85" s="141"/>
      <c r="GH85" s="141"/>
      <c r="GI85" s="141"/>
      <c r="GJ85" s="141"/>
      <c r="GK85" s="141"/>
      <c r="GL85" s="141"/>
      <c r="GM85" s="141"/>
      <c r="GN85" s="141"/>
      <c r="GO85" s="141"/>
      <c r="GP85" s="141"/>
      <c r="GQ85" s="141"/>
      <c r="GR85" s="141"/>
      <c r="GS85" s="141"/>
      <c r="GT85" s="141"/>
      <c r="GU85" s="141"/>
      <c r="GV85" s="141"/>
      <c r="GW85" s="141"/>
      <c r="GX85" s="141"/>
      <c r="GY85" s="141"/>
      <c r="GZ85" s="141"/>
      <c r="HA85" s="141"/>
      <c r="HB85" s="141"/>
      <c r="HC85" s="141"/>
    </row>
    <row r="86" spans="1:211" s="138" customFormat="1">
      <c r="A86" s="133">
        <f t="shared" si="19"/>
        <v>81</v>
      </c>
      <c r="B86" s="139" t="str">
        <f t="shared" ref="B86" si="144">MID(RIGHT(H86,8),1,7)</f>
        <v/>
      </c>
      <c r="C86" s="139" t="str">
        <f t="shared" ref="C86" si="145">MID(RIGHT(I86,8),1,7)</f>
        <v/>
      </c>
      <c r="D86" s="139" t="str">
        <f t="shared" ref="D86" si="146">MID(RIGHT(J86,8),1,7)</f>
        <v>BL管理業務引</v>
      </c>
      <c r="E86" s="139" t="str">
        <f t="shared" ref="E86" si="147">MID(RIGHT(K86,8),1,7)</f>
        <v/>
      </c>
      <c r="H86" s="131"/>
      <c r="I86" s="144"/>
      <c r="J86" s="131" t="s">
        <v>153</v>
      </c>
      <c r="K86" s="135"/>
      <c r="L86" s="136"/>
      <c r="M86" s="130"/>
      <c r="N86" s="134"/>
      <c r="O86" s="136"/>
      <c r="P86" s="136"/>
      <c r="Q86" s="136"/>
      <c r="R86" s="136"/>
      <c r="S86" s="137"/>
      <c r="T86" s="146">
        <v>41000</v>
      </c>
      <c r="U86" s="146"/>
      <c r="V86" s="129"/>
      <c r="W86" s="142" t="s">
        <v>79</v>
      </c>
      <c r="X86" s="146"/>
      <c r="Y86" s="146"/>
      <c r="Z86" s="132">
        <f t="shared" ref="Z86" ca="1" si="148">IF(SUM(AB86:HC86)=0,"",  SUM(AB86:HC86))</f>
        <v>5</v>
      </c>
      <c r="AA86" s="143"/>
      <c r="AB86" s="140" t="str">
        <f t="shared" ca="1" si="133"/>
        <v>未着手</v>
      </c>
      <c r="AC86" s="145"/>
      <c r="AD86" s="145"/>
      <c r="AE86" s="145"/>
      <c r="AF86" s="145"/>
      <c r="AG86" s="145"/>
      <c r="AH86" s="145"/>
      <c r="AI86" s="145"/>
      <c r="AJ86" s="145"/>
      <c r="AK86" s="145"/>
      <c r="AL86" s="145"/>
      <c r="AM86" s="145"/>
      <c r="AN86" s="145"/>
      <c r="AO86" s="145"/>
      <c r="AP86" s="145"/>
      <c r="AQ86" s="145"/>
      <c r="AR86" s="145"/>
      <c r="AS86" s="145"/>
      <c r="AT86" s="145"/>
      <c r="AU86" s="145"/>
      <c r="AV86" s="145"/>
      <c r="AW86" s="145"/>
      <c r="AX86" s="145"/>
      <c r="AY86" s="145"/>
      <c r="AZ86" s="145"/>
      <c r="BA86" s="145">
        <v>4</v>
      </c>
      <c r="BB86" s="145"/>
      <c r="BC86" s="145">
        <v>1</v>
      </c>
      <c r="BD86" s="145"/>
      <c r="BE86" s="145"/>
      <c r="BF86" s="145"/>
      <c r="BG86" s="145"/>
      <c r="BH86" s="145"/>
      <c r="BI86" s="145"/>
      <c r="BJ86" s="145"/>
      <c r="BK86" s="145"/>
      <c r="BL86" s="145"/>
      <c r="BM86" s="145"/>
      <c r="BN86" s="145"/>
      <c r="BO86" s="145"/>
      <c r="BP86" s="145"/>
      <c r="BQ86" s="145"/>
      <c r="BR86" s="145"/>
      <c r="BS86" s="145"/>
      <c r="BT86" s="145"/>
      <c r="BU86" s="145"/>
      <c r="BV86" s="145"/>
      <c r="BW86" s="145"/>
      <c r="BX86" s="145"/>
      <c r="BY86" s="145"/>
      <c r="BZ86" s="145"/>
      <c r="CA86" s="145"/>
      <c r="CB86" s="145"/>
      <c r="CC86" s="145"/>
      <c r="CD86" s="145"/>
      <c r="CE86" s="145"/>
      <c r="CF86" s="145"/>
      <c r="CG86" s="145"/>
      <c r="CH86" s="145"/>
      <c r="CI86" s="145"/>
      <c r="CJ86" s="145"/>
      <c r="CK86" s="145"/>
      <c r="CL86" s="145"/>
      <c r="CM86" s="145"/>
      <c r="CN86" s="145"/>
      <c r="CO86" s="145"/>
      <c r="CP86" s="145"/>
      <c r="CQ86" s="145"/>
      <c r="CR86" s="145"/>
      <c r="CS86" s="145"/>
      <c r="CT86" s="145"/>
      <c r="CU86" s="145"/>
      <c r="CV86" s="145"/>
      <c r="CW86" s="145"/>
      <c r="CX86" s="145"/>
      <c r="CY86" s="145"/>
      <c r="CZ86" s="145"/>
      <c r="DA86" s="145"/>
      <c r="DB86" s="145"/>
      <c r="DC86" s="145"/>
      <c r="DD86" s="145"/>
      <c r="DE86" s="145"/>
      <c r="DF86" s="145"/>
      <c r="DG86" s="145"/>
      <c r="DH86" s="145"/>
      <c r="DI86" s="145"/>
      <c r="DJ86" s="145"/>
      <c r="DK86" s="145"/>
      <c r="DL86" s="145"/>
      <c r="DM86" s="145"/>
      <c r="DN86" s="145"/>
      <c r="DO86" s="145"/>
      <c r="DP86" s="145"/>
      <c r="DQ86" s="145"/>
      <c r="DR86" s="145"/>
      <c r="DS86" s="145"/>
      <c r="DT86" s="145"/>
      <c r="DU86" s="145"/>
      <c r="DV86" s="145"/>
      <c r="DW86" s="145"/>
      <c r="DX86" s="145"/>
      <c r="DY86" s="145"/>
      <c r="DZ86" s="145"/>
      <c r="EA86" s="145"/>
      <c r="EB86" s="145"/>
      <c r="EC86" s="145"/>
      <c r="ED86" s="145"/>
      <c r="EE86" s="145"/>
      <c r="EF86" s="145"/>
      <c r="EG86" s="145"/>
      <c r="EH86" s="145"/>
      <c r="EI86" s="145"/>
      <c r="EJ86" s="145"/>
      <c r="EK86" s="145"/>
      <c r="EL86" s="145"/>
      <c r="EM86" s="145"/>
      <c r="EN86" s="145"/>
      <c r="EO86" s="145"/>
      <c r="EP86" s="145"/>
      <c r="EQ86" s="145"/>
      <c r="ER86" s="145"/>
      <c r="ES86" s="145"/>
      <c r="ET86" s="145"/>
      <c r="EU86" s="145"/>
      <c r="EV86" s="145"/>
      <c r="EW86" s="145"/>
      <c r="EX86" s="145"/>
      <c r="EY86" s="145"/>
      <c r="EZ86" s="145"/>
      <c r="FA86" s="145"/>
      <c r="FB86" s="145"/>
      <c r="FC86" s="145"/>
      <c r="FD86" s="145"/>
      <c r="FE86" s="145"/>
      <c r="FF86" s="145"/>
      <c r="FG86" s="145"/>
      <c r="FH86" s="145"/>
      <c r="FI86" s="145"/>
      <c r="FJ86" s="145"/>
      <c r="FK86" s="145"/>
      <c r="FL86" s="145"/>
      <c r="FM86" s="145"/>
      <c r="FN86" s="145"/>
      <c r="FO86" s="145"/>
      <c r="FP86" s="145"/>
      <c r="FQ86" s="145"/>
      <c r="FR86" s="145"/>
      <c r="FS86" s="145"/>
      <c r="FT86" s="145"/>
      <c r="FU86" s="145"/>
      <c r="FV86" s="145"/>
      <c r="FW86" s="145"/>
      <c r="FX86" s="145"/>
      <c r="FY86" s="145"/>
      <c r="FZ86" s="145"/>
      <c r="GA86" s="145"/>
      <c r="GB86" s="141"/>
      <c r="GC86" s="141"/>
      <c r="GD86" s="141"/>
      <c r="GE86" s="141"/>
      <c r="GF86" s="141"/>
      <c r="GG86" s="141"/>
      <c r="GH86" s="141"/>
      <c r="GI86" s="141"/>
      <c r="GJ86" s="141"/>
      <c r="GK86" s="141"/>
      <c r="GL86" s="141"/>
      <c r="GM86" s="141"/>
      <c r="GN86" s="141"/>
      <c r="GO86" s="141"/>
      <c r="GP86" s="141"/>
      <c r="GQ86" s="141"/>
      <c r="GR86" s="141"/>
      <c r="GS86" s="141"/>
      <c r="GT86" s="141"/>
      <c r="GU86" s="141"/>
      <c r="GV86" s="141"/>
      <c r="GW86" s="141"/>
      <c r="GX86" s="141"/>
      <c r="GY86" s="141"/>
      <c r="GZ86" s="141"/>
      <c r="HA86" s="141"/>
      <c r="HB86" s="141"/>
      <c r="HC86" s="141"/>
    </row>
    <row r="87" spans="1:211" s="138" customFormat="1">
      <c r="A87" s="133">
        <f t="shared" si="19"/>
        <v>82</v>
      </c>
      <c r="B87" s="139" t="str">
        <f t="shared" ref="B87" si="149">MID(RIGHT(H87,8),1,7)</f>
        <v/>
      </c>
      <c r="C87" s="139" t="str">
        <f t="shared" ref="C87" si="150">MID(RIGHT(I87,8),1,7)</f>
        <v/>
      </c>
      <c r="D87" s="139" t="str">
        <f t="shared" ref="D87" si="151">MID(RIGHT(J87,8),1,7)</f>
        <v>PVB0040</v>
      </c>
      <c r="E87" s="139" t="str">
        <f t="shared" ref="E87" si="152">MID(RIGHT(K87,8),1,7)</f>
        <v/>
      </c>
      <c r="H87" s="131"/>
      <c r="I87" s="144"/>
      <c r="J87" s="131" t="s">
        <v>164</v>
      </c>
      <c r="K87" s="135"/>
      <c r="L87" s="136"/>
      <c r="M87" s="130"/>
      <c r="N87" s="134"/>
      <c r="O87" s="136"/>
      <c r="P87" s="136"/>
      <c r="Q87" s="136"/>
      <c r="R87" s="136"/>
      <c r="S87" s="137"/>
      <c r="T87" s="146">
        <v>41000</v>
      </c>
      <c r="U87" s="146"/>
      <c r="V87" s="129"/>
      <c r="W87" s="142" t="s">
        <v>155</v>
      </c>
      <c r="X87" s="146"/>
      <c r="Y87" s="146"/>
      <c r="Z87" s="132">
        <f t="shared" ref="Z87" ca="1" si="153">IF(SUM(AB87:HC87)=0,"",  SUM(AB87:HC87))</f>
        <v>18</v>
      </c>
      <c r="AA87" s="143"/>
      <c r="AB87" s="140" t="str">
        <f t="shared" ca="1" si="133"/>
        <v>未着手</v>
      </c>
      <c r="AC87" s="145"/>
      <c r="AD87" s="145"/>
      <c r="AE87" s="145"/>
      <c r="AF87" s="145"/>
      <c r="AG87" s="145"/>
      <c r="AH87" s="145"/>
      <c r="AI87" s="145"/>
      <c r="AJ87" s="145"/>
      <c r="AK87" s="145"/>
      <c r="AL87" s="145"/>
      <c r="AM87" s="145"/>
      <c r="AN87" s="145"/>
      <c r="AO87" s="145"/>
      <c r="AP87" s="145"/>
      <c r="AQ87" s="145"/>
      <c r="AR87" s="145"/>
      <c r="AS87" s="145"/>
      <c r="AT87" s="145"/>
      <c r="AU87" s="145"/>
      <c r="AV87" s="145"/>
      <c r="AW87" s="145"/>
      <c r="AX87" s="145"/>
      <c r="AY87" s="145"/>
      <c r="AZ87" s="145"/>
      <c r="BA87" s="145"/>
      <c r="BB87" s="145"/>
      <c r="BC87" s="145"/>
      <c r="BD87" s="145"/>
      <c r="BE87" s="145"/>
      <c r="BF87" s="145"/>
      <c r="BG87" s="145"/>
      <c r="BH87" s="145"/>
      <c r="BI87" s="145"/>
      <c r="BJ87" s="145"/>
      <c r="BK87" s="145"/>
      <c r="BL87" s="145"/>
      <c r="BM87" s="145"/>
      <c r="BN87" s="145"/>
      <c r="BO87" s="145"/>
      <c r="BP87" s="145"/>
      <c r="BQ87" s="145"/>
      <c r="BR87" s="145"/>
      <c r="BS87" s="145"/>
      <c r="BT87" s="145"/>
      <c r="BU87" s="145">
        <v>6.5</v>
      </c>
      <c r="BV87" s="145">
        <v>9.5</v>
      </c>
      <c r="BW87" s="145">
        <v>2</v>
      </c>
      <c r="BX87" s="145"/>
      <c r="BY87" s="145"/>
      <c r="BZ87" s="145"/>
      <c r="CA87" s="145"/>
      <c r="CB87" s="145"/>
      <c r="CC87" s="145"/>
      <c r="CD87" s="145"/>
      <c r="CE87" s="145"/>
      <c r="CF87" s="145"/>
      <c r="CG87" s="145"/>
      <c r="CH87" s="145"/>
      <c r="CI87" s="145"/>
      <c r="CJ87" s="145"/>
      <c r="CK87" s="145"/>
      <c r="CL87" s="145"/>
      <c r="CM87" s="145"/>
      <c r="CN87" s="145"/>
      <c r="CO87" s="145"/>
      <c r="CP87" s="145"/>
      <c r="CQ87" s="145"/>
      <c r="CR87" s="145"/>
      <c r="CS87" s="145"/>
      <c r="CT87" s="145"/>
      <c r="CU87" s="145"/>
      <c r="CV87" s="145"/>
      <c r="CW87" s="145"/>
      <c r="CX87" s="145"/>
      <c r="CY87" s="145"/>
      <c r="CZ87" s="145"/>
      <c r="DA87" s="145"/>
      <c r="DB87" s="145"/>
      <c r="DC87" s="145"/>
      <c r="DD87" s="145"/>
      <c r="DE87" s="145"/>
      <c r="DF87" s="145"/>
      <c r="DG87" s="145"/>
      <c r="DH87" s="145"/>
      <c r="DI87" s="145"/>
      <c r="DJ87" s="145"/>
      <c r="DK87" s="145"/>
      <c r="DL87" s="145"/>
      <c r="DM87" s="145"/>
      <c r="DN87" s="145"/>
      <c r="DO87" s="145"/>
      <c r="DP87" s="145"/>
      <c r="DQ87" s="145"/>
      <c r="DR87" s="145"/>
      <c r="DS87" s="145"/>
      <c r="DT87" s="145"/>
      <c r="DU87" s="145"/>
      <c r="DV87" s="145"/>
      <c r="DW87" s="145"/>
      <c r="DX87" s="145"/>
      <c r="DY87" s="145"/>
      <c r="DZ87" s="145"/>
      <c r="EA87" s="145"/>
      <c r="EB87" s="145"/>
      <c r="EC87" s="145"/>
      <c r="ED87" s="145"/>
      <c r="EE87" s="145"/>
      <c r="EF87" s="145"/>
      <c r="EG87" s="145"/>
      <c r="EH87" s="145"/>
      <c r="EI87" s="145"/>
      <c r="EJ87" s="145"/>
      <c r="EK87" s="145"/>
      <c r="EL87" s="145"/>
      <c r="EM87" s="145"/>
      <c r="EN87" s="145"/>
      <c r="EO87" s="145"/>
      <c r="EP87" s="145"/>
      <c r="EQ87" s="145"/>
      <c r="ER87" s="145"/>
      <c r="ES87" s="145"/>
      <c r="ET87" s="145"/>
      <c r="EU87" s="145"/>
      <c r="EV87" s="145"/>
      <c r="EW87" s="145"/>
      <c r="EX87" s="145"/>
      <c r="EY87" s="145"/>
      <c r="EZ87" s="145"/>
      <c r="FA87" s="145"/>
      <c r="FB87" s="145"/>
      <c r="FC87" s="145"/>
      <c r="FD87" s="145"/>
      <c r="FE87" s="145"/>
      <c r="FF87" s="145"/>
      <c r="FG87" s="145"/>
      <c r="FH87" s="145"/>
      <c r="FI87" s="145"/>
      <c r="FJ87" s="145"/>
      <c r="FK87" s="145"/>
      <c r="FL87" s="145"/>
      <c r="FM87" s="145"/>
      <c r="FN87" s="145"/>
      <c r="FO87" s="145"/>
      <c r="FP87" s="145"/>
      <c r="FQ87" s="145"/>
      <c r="FR87" s="145"/>
      <c r="FS87" s="145"/>
      <c r="FT87" s="145"/>
      <c r="FU87" s="145"/>
      <c r="FV87" s="145"/>
      <c r="FW87" s="145"/>
      <c r="FX87" s="145"/>
      <c r="FY87" s="145"/>
      <c r="FZ87" s="145"/>
      <c r="GA87" s="145"/>
      <c r="GB87" s="141"/>
      <c r="GC87" s="141"/>
      <c r="GD87" s="141"/>
      <c r="GE87" s="141"/>
      <c r="GF87" s="141"/>
      <c r="GG87" s="141"/>
      <c r="GH87" s="141"/>
      <c r="GI87" s="141"/>
      <c r="GJ87" s="141"/>
      <c r="GK87" s="141"/>
      <c r="GL87" s="141"/>
      <c r="GM87" s="141"/>
      <c r="GN87" s="141"/>
      <c r="GO87" s="141"/>
      <c r="GP87" s="141"/>
      <c r="GQ87" s="141"/>
      <c r="GR87" s="141"/>
      <c r="GS87" s="141"/>
      <c r="GT87" s="141"/>
      <c r="GU87" s="141"/>
      <c r="GV87" s="141"/>
      <c r="GW87" s="141"/>
      <c r="GX87" s="141"/>
      <c r="GY87" s="141"/>
      <c r="GZ87" s="141"/>
      <c r="HA87" s="141"/>
      <c r="HB87" s="141"/>
      <c r="HC87" s="141"/>
    </row>
    <row r="88" spans="1:211" s="111" customFormat="1">
      <c r="A88" s="109">
        <f t="shared" si="19"/>
        <v>83</v>
      </c>
      <c r="B88" s="110" t="str">
        <f>MID(RIGHT(G88,8),1,7)</f>
        <v/>
      </c>
      <c r="C88" s="110" t="str">
        <f>MID(RIGHT(H88,8),1,7)</f>
        <v/>
      </c>
      <c r="D88" s="110" t="str">
        <f>MID(RIGHT(I88,8),1,7)</f>
        <v>・自己管理諸作</v>
      </c>
      <c r="E88" s="110" t="str">
        <f>MID(RIGHT(J88,8),1,7)</f>
        <v/>
      </c>
      <c r="H88" s="112"/>
      <c r="I88" s="127" t="s">
        <v>142</v>
      </c>
      <c r="J88" s="113"/>
      <c r="K88" s="114"/>
      <c r="L88" s="115"/>
      <c r="M88" s="116"/>
      <c r="N88" s="117"/>
      <c r="O88" s="115"/>
      <c r="P88" s="115"/>
      <c r="Q88" s="115"/>
      <c r="R88" s="115"/>
      <c r="S88" s="118"/>
      <c r="T88" s="119"/>
      <c r="U88" s="119"/>
      <c r="V88" s="120"/>
      <c r="W88" s="121"/>
      <c r="X88" s="119"/>
      <c r="Y88" s="119"/>
      <c r="Z88" s="122">
        <f ca="1">SUM(Z89:Z90)</f>
        <v>25.25</v>
      </c>
      <c r="AA88" s="128"/>
      <c r="AB88" s="123"/>
      <c r="AC88" s="124"/>
      <c r="AD88" s="124"/>
      <c r="AE88" s="124"/>
      <c r="AF88" s="124"/>
      <c r="AG88" s="124"/>
      <c r="AH88" s="125"/>
      <c r="AI88" s="125"/>
      <c r="AJ88" s="125"/>
      <c r="AK88" s="125"/>
      <c r="AL88" s="124"/>
      <c r="AM88" s="124"/>
      <c r="AN88" s="125"/>
      <c r="AO88" s="125"/>
      <c r="AP88" s="125"/>
      <c r="AQ88" s="125"/>
      <c r="AR88" s="124"/>
      <c r="AS88" s="124"/>
      <c r="AT88" s="124"/>
      <c r="AU88" s="124"/>
      <c r="AV88" s="124"/>
      <c r="AW88" s="124"/>
      <c r="AX88" s="124"/>
      <c r="AY88" s="124"/>
      <c r="AZ88" s="124"/>
      <c r="BA88" s="124"/>
      <c r="BB88" s="124"/>
      <c r="BC88" s="124"/>
      <c r="BD88" s="124"/>
      <c r="BE88" s="124"/>
      <c r="BF88" s="124"/>
      <c r="BG88" s="124"/>
      <c r="BH88" s="124"/>
      <c r="BI88" s="124"/>
      <c r="BJ88" s="124"/>
      <c r="BK88" s="124"/>
      <c r="BL88" s="124"/>
      <c r="BM88" s="124"/>
      <c r="BN88" s="124"/>
      <c r="BO88" s="124"/>
      <c r="BP88" s="124"/>
      <c r="BQ88" s="124"/>
      <c r="BR88" s="124"/>
      <c r="BS88" s="124"/>
      <c r="BT88" s="124"/>
      <c r="BU88" s="124"/>
      <c r="BV88" s="124"/>
      <c r="BW88" s="124"/>
      <c r="BX88" s="124"/>
      <c r="BY88" s="124"/>
      <c r="BZ88" s="124"/>
      <c r="CA88" s="124"/>
      <c r="CB88" s="124"/>
      <c r="CC88" s="124"/>
      <c r="CD88" s="124"/>
      <c r="CE88" s="124"/>
      <c r="CF88" s="124"/>
      <c r="CG88" s="124"/>
      <c r="CH88" s="124"/>
      <c r="CI88" s="124"/>
      <c r="CJ88" s="124"/>
      <c r="CK88" s="124"/>
      <c r="CL88" s="124"/>
      <c r="CM88" s="124"/>
      <c r="CN88" s="124"/>
      <c r="CO88" s="124"/>
      <c r="CP88" s="124"/>
      <c r="CQ88" s="124"/>
      <c r="CR88" s="124"/>
      <c r="CS88" s="124"/>
      <c r="CT88" s="124"/>
      <c r="CU88" s="124"/>
      <c r="CV88" s="124"/>
      <c r="CW88" s="124"/>
      <c r="CX88" s="124"/>
      <c r="CY88" s="124"/>
      <c r="CZ88" s="124"/>
      <c r="DA88" s="124"/>
      <c r="DB88" s="124"/>
      <c r="DC88" s="124"/>
      <c r="DD88" s="124"/>
      <c r="DE88" s="124"/>
      <c r="DF88" s="124"/>
      <c r="DG88" s="124"/>
      <c r="DH88" s="124"/>
      <c r="DI88" s="124"/>
      <c r="DJ88" s="124"/>
      <c r="DK88" s="124"/>
      <c r="DL88" s="124"/>
      <c r="DM88" s="124"/>
      <c r="DN88" s="124"/>
      <c r="DO88" s="124"/>
      <c r="DP88" s="124"/>
      <c r="DQ88" s="124"/>
      <c r="DR88" s="124"/>
      <c r="DS88" s="124"/>
      <c r="DT88" s="124"/>
      <c r="DU88" s="124"/>
      <c r="DV88" s="124"/>
      <c r="DW88" s="124"/>
      <c r="DX88" s="124"/>
      <c r="DY88" s="124"/>
      <c r="DZ88" s="124"/>
      <c r="EA88" s="124"/>
      <c r="EB88" s="124"/>
      <c r="EC88" s="124"/>
      <c r="ED88" s="124"/>
      <c r="EE88" s="124"/>
      <c r="EF88" s="124"/>
      <c r="EG88" s="124"/>
      <c r="EH88" s="124"/>
      <c r="EI88" s="124"/>
      <c r="EJ88" s="124"/>
      <c r="EK88" s="124"/>
      <c r="EL88" s="124"/>
      <c r="EM88" s="124"/>
      <c r="EN88" s="124"/>
      <c r="EO88" s="124"/>
      <c r="EP88" s="124"/>
      <c r="EQ88" s="124"/>
      <c r="ER88" s="124"/>
      <c r="ES88" s="124"/>
      <c r="ET88" s="124"/>
      <c r="EU88" s="124"/>
      <c r="EV88" s="124"/>
      <c r="EW88" s="124"/>
      <c r="EX88" s="124"/>
      <c r="EY88" s="124"/>
      <c r="EZ88" s="124"/>
      <c r="FA88" s="124"/>
      <c r="FB88" s="124"/>
      <c r="FC88" s="124"/>
      <c r="FD88" s="124"/>
      <c r="FE88" s="124"/>
      <c r="FF88" s="124"/>
      <c r="FG88" s="124"/>
      <c r="FH88" s="124"/>
      <c r="FI88" s="124"/>
      <c r="FJ88" s="124"/>
      <c r="FK88" s="124"/>
      <c r="FL88" s="124"/>
      <c r="FM88" s="124"/>
      <c r="FN88" s="124"/>
      <c r="FO88" s="124"/>
      <c r="FP88" s="124"/>
      <c r="FQ88" s="124"/>
      <c r="FR88" s="124"/>
      <c r="FS88" s="124"/>
      <c r="FT88" s="124"/>
      <c r="FU88" s="124"/>
      <c r="FV88" s="124"/>
      <c r="FW88" s="124"/>
      <c r="FX88" s="124"/>
      <c r="FY88" s="124"/>
      <c r="FZ88" s="124"/>
      <c r="GA88" s="124"/>
      <c r="GB88" s="125"/>
      <c r="GC88" s="125"/>
      <c r="GD88" s="125"/>
      <c r="GE88" s="125"/>
      <c r="GF88" s="125"/>
      <c r="GG88" s="125"/>
      <c r="GH88" s="125"/>
      <c r="GI88" s="125"/>
      <c r="GJ88" s="125"/>
      <c r="GK88" s="125"/>
      <c r="GL88" s="125"/>
      <c r="GM88" s="125"/>
      <c r="GN88" s="125"/>
      <c r="GO88" s="125"/>
      <c r="GP88" s="125"/>
      <c r="GQ88" s="125"/>
      <c r="GR88" s="125"/>
      <c r="GS88" s="125"/>
      <c r="GT88" s="125"/>
      <c r="GU88" s="125"/>
      <c r="GV88" s="125"/>
      <c r="GW88" s="125"/>
      <c r="GX88" s="125"/>
      <c r="GY88" s="125"/>
      <c r="GZ88" s="125"/>
      <c r="HA88" s="125"/>
      <c r="HB88" s="125"/>
      <c r="HC88" s="125"/>
    </row>
    <row r="89" spans="1:211" s="138" customFormat="1">
      <c r="A89" s="133">
        <f t="shared" si="19"/>
        <v>84</v>
      </c>
      <c r="B89" s="139" t="str">
        <f t="shared" ref="B89:E90" si="154">MID(RIGHT(H89,8),1,7)</f>
        <v/>
      </c>
      <c r="C89" s="139" t="str">
        <f t="shared" si="154"/>
        <v/>
      </c>
      <c r="D89" s="139" t="str">
        <f t="shared" si="154"/>
        <v>理・自己作業な</v>
      </c>
      <c r="E89" s="139" t="str">
        <f t="shared" si="154"/>
        <v/>
      </c>
      <c r="H89" s="131"/>
      <c r="I89" s="144"/>
      <c r="J89" s="131" t="s">
        <v>146</v>
      </c>
      <c r="K89" s="135"/>
      <c r="L89" s="136"/>
      <c r="M89" s="130"/>
      <c r="N89" s="134"/>
      <c r="O89" s="136"/>
      <c r="P89" s="136"/>
      <c r="Q89" s="136"/>
      <c r="R89" s="136"/>
      <c r="S89" s="137"/>
      <c r="T89" s="146">
        <v>41000</v>
      </c>
      <c r="U89" s="146"/>
      <c r="V89" s="129"/>
      <c r="W89" s="142" t="s">
        <v>78</v>
      </c>
      <c r="X89" s="146"/>
      <c r="Y89" s="146"/>
      <c r="Z89" s="132">
        <f ca="1">IF(SUM(AB89:HC89)=0,"",  SUM(AB89:HC89))</f>
        <v>16.25</v>
      </c>
      <c r="AA89" s="143"/>
      <c r="AB89" s="140" t="str">
        <f ca="1">IF($T89="","",IF($X89="",IF($T89&lt;TODAY(),"未着手","予定"),IF($Y89="",IF($U89&lt;TODAY(),"遅延","仕掛"),"完了")))</f>
        <v>未着手</v>
      </c>
      <c r="AC89" s="145">
        <v>0.5</v>
      </c>
      <c r="AD89" s="145">
        <v>0.5</v>
      </c>
      <c r="AE89" s="145">
        <v>0.5</v>
      </c>
      <c r="AF89" s="145">
        <v>0.5</v>
      </c>
      <c r="AG89" s="145">
        <v>0.75</v>
      </c>
      <c r="AH89" s="145"/>
      <c r="AI89" s="145"/>
      <c r="AJ89" s="145"/>
      <c r="AK89" s="145">
        <v>0.5</v>
      </c>
      <c r="AL89" s="145">
        <v>0.5</v>
      </c>
      <c r="AM89" s="145">
        <v>1</v>
      </c>
      <c r="AN89" s="145"/>
      <c r="AO89" s="145"/>
      <c r="AP89" s="145"/>
      <c r="AQ89" s="145"/>
      <c r="AR89" s="145"/>
      <c r="AS89" s="145">
        <v>0.75</v>
      </c>
      <c r="AT89" s="145">
        <v>0.5</v>
      </c>
      <c r="AU89" s="145"/>
      <c r="AV89" s="145"/>
      <c r="AW89" s="145"/>
      <c r="AX89" s="145">
        <v>1</v>
      </c>
      <c r="AY89" s="145">
        <v>1</v>
      </c>
      <c r="AZ89" s="145">
        <v>0.5</v>
      </c>
      <c r="BA89" s="145">
        <v>0.5</v>
      </c>
      <c r="BB89" s="145">
        <v>1.25</v>
      </c>
      <c r="BC89" s="145">
        <v>0.25</v>
      </c>
      <c r="BD89" s="145"/>
      <c r="BE89" s="145"/>
      <c r="BF89" s="145"/>
      <c r="BG89" s="145"/>
      <c r="BH89" s="145"/>
      <c r="BI89" s="145"/>
      <c r="BJ89" s="145">
        <v>0.5</v>
      </c>
      <c r="BK89" s="145">
        <v>1.5</v>
      </c>
      <c r="BL89" s="145">
        <v>0.5</v>
      </c>
      <c r="BM89" s="145">
        <v>0.75</v>
      </c>
      <c r="BN89" s="145">
        <v>0.5</v>
      </c>
      <c r="BO89" s="145">
        <v>1.25</v>
      </c>
      <c r="BP89" s="145">
        <v>0.75</v>
      </c>
      <c r="BQ89" s="145"/>
      <c r="BR89" s="145"/>
      <c r="BS89" s="145"/>
      <c r="BT89" s="145"/>
      <c r="BU89" s="145"/>
      <c r="BV89" s="145"/>
      <c r="BW89" s="145"/>
      <c r="BX89" s="145"/>
      <c r="BY89" s="145"/>
      <c r="BZ89" s="145"/>
      <c r="CA89" s="145"/>
      <c r="CB89" s="145"/>
      <c r="CC89" s="145"/>
      <c r="CD89" s="145"/>
      <c r="CE89" s="145"/>
      <c r="CF89" s="145"/>
      <c r="CG89" s="145"/>
      <c r="CH89" s="145"/>
      <c r="CI89" s="145"/>
      <c r="CJ89" s="145"/>
      <c r="CK89" s="145"/>
      <c r="CL89" s="145"/>
      <c r="CM89" s="145"/>
      <c r="CN89" s="145"/>
      <c r="CO89" s="145"/>
      <c r="CP89" s="145"/>
      <c r="CQ89" s="145"/>
      <c r="CR89" s="145"/>
      <c r="CS89" s="145"/>
      <c r="CT89" s="145"/>
      <c r="CU89" s="145"/>
      <c r="CV89" s="145"/>
      <c r="CW89" s="145"/>
      <c r="CX89" s="145"/>
      <c r="CY89" s="145"/>
      <c r="CZ89" s="145"/>
      <c r="DA89" s="145"/>
      <c r="DB89" s="145"/>
      <c r="DC89" s="145"/>
      <c r="DD89" s="145"/>
      <c r="DE89" s="145"/>
      <c r="DF89" s="145"/>
      <c r="DG89" s="145"/>
      <c r="DH89" s="145"/>
      <c r="DI89" s="145"/>
      <c r="DJ89" s="145"/>
      <c r="DK89" s="145"/>
      <c r="DL89" s="145"/>
      <c r="DM89" s="145"/>
      <c r="DN89" s="145"/>
      <c r="DO89" s="145"/>
      <c r="DP89" s="145"/>
      <c r="DQ89" s="145"/>
      <c r="DR89" s="145"/>
      <c r="DS89" s="145"/>
      <c r="DT89" s="145"/>
      <c r="DU89" s="145"/>
      <c r="DV89" s="145"/>
      <c r="DW89" s="145"/>
      <c r="DX89" s="145"/>
      <c r="DY89" s="145"/>
      <c r="DZ89" s="145"/>
      <c r="EA89" s="145"/>
      <c r="EB89" s="145"/>
      <c r="EC89" s="145"/>
      <c r="ED89" s="145"/>
      <c r="EE89" s="145"/>
      <c r="EF89" s="145"/>
      <c r="EG89" s="145"/>
      <c r="EH89" s="145"/>
      <c r="EI89" s="145"/>
      <c r="EJ89" s="145"/>
      <c r="EK89" s="145"/>
      <c r="EL89" s="145"/>
      <c r="EM89" s="145"/>
      <c r="EN89" s="145"/>
      <c r="EO89" s="145"/>
      <c r="EP89" s="145"/>
      <c r="EQ89" s="145"/>
      <c r="ER89" s="145"/>
      <c r="ES89" s="145"/>
      <c r="ET89" s="145"/>
      <c r="EU89" s="145"/>
      <c r="EV89" s="145"/>
      <c r="EW89" s="145"/>
      <c r="EX89" s="145"/>
      <c r="EY89" s="145"/>
      <c r="EZ89" s="145"/>
      <c r="FA89" s="145"/>
      <c r="FB89" s="145"/>
      <c r="FC89" s="145"/>
      <c r="FD89" s="145"/>
      <c r="FE89" s="145"/>
      <c r="FF89" s="145"/>
      <c r="FG89" s="145"/>
      <c r="FH89" s="145"/>
      <c r="FI89" s="145"/>
      <c r="FJ89" s="145"/>
      <c r="FK89" s="145"/>
      <c r="FL89" s="145"/>
      <c r="FM89" s="145"/>
      <c r="FN89" s="145"/>
      <c r="FO89" s="145"/>
      <c r="FP89" s="145"/>
      <c r="FQ89" s="145"/>
      <c r="FR89" s="145"/>
      <c r="FS89" s="145"/>
      <c r="FT89" s="145"/>
      <c r="FU89" s="145"/>
      <c r="FV89" s="145"/>
      <c r="FW89" s="145"/>
      <c r="FX89" s="145"/>
      <c r="FY89" s="145"/>
      <c r="FZ89" s="145"/>
      <c r="GA89" s="145"/>
      <c r="GB89" s="141"/>
      <c r="GC89" s="141"/>
      <c r="GD89" s="141"/>
      <c r="GE89" s="141"/>
      <c r="GF89" s="141"/>
      <c r="GG89" s="141"/>
      <c r="GH89" s="141"/>
      <c r="GI89" s="141"/>
      <c r="GJ89" s="141"/>
      <c r="GK89" s="141"/>
      <c r="GL89" s="141"/>
      <c r="GM89" s="141"/>
      <c r="GN89" s="141"/>
      <c r="GO89" s="141"/>
      <c r="GP89" s="141"/>
      <c r="GQ89" s="141"/>
      <c r="GR89" s="141"/>
      <c r="GS89" s="141"/>
      <c r="GT89" s="141"/>
      <c r="GU89" s="141"/>
      <c r="GV89" s="141"/>
      <c r="GW89" s="141"/>
      <c r="GX89" s="141"/>
      <c r="GY89" s="141"/>
      <c r="GZ89" s="141"/>
      <c r="HA89" s="141"/>
      <c r="HB89" s="141"/>
      <c r="HC89" s="141"/>
    </row>
    <row r="90" spans="1:211" s="138" customFormat="1">
      <c r="A90" s="133">
        <f t="shared" si="19"/>
        <v>85</v>
      </c>
      <c r="B90" s="139" t="str">
        <f t="shared" si="154"/>
        <v/>
      </c>
      <c r="C90" s="139" t="str">
        <f t="shared" si="154"/>
        <v/>
      </c>
      <c r="D90" s="139" t="str">
        <f t="shared" si="154"/>
        <v>理・自己作業な</v>
      </c>
      <c r="E90" s="139" t="str">
        <f t="shared" si="154"/>
        <v/>
      </c>
      <c r="H90" s="131"/>
      <c r="I90" s="144"/>
      <c r="J90" s="131" t="s">
        <v>114</v>
      </c>
      <c r="K90" s="135"/>
      <c r="L90" s="136"/>
      <c r="M90" s="130"/>
      <c r="N90" s="134"/>
      <c r="O90" s="136"/>
      <c r="P90" s="136"/>
      <c r="Q90" s="136"/>
      <c r="R90" s="136"/>
      <c r="S90" s="137"/>
      <c r="T90" s="146">
        <v>41000</v>
      </c>
      <c r="U90" s="146"/>
      <c r="V90" s="129"/>
      <c r="W90" s="142" t="s">
        <v>46</v>
      </c>
      <c r="X90" s="146"/>
      <c r="Y90" s="146"/>
      <c r="Z90" s="132">
        <f ca="1">IF(SUM(AB90:HC90)=0,"",  SUM(AB90:HC90))</f>
        <v>9</v>
      </c>
      <c r="AA90" s="143"/>
      <c r="AB90" s="140" t="str">
        <f ca="1">IF($T90="","",IF($X90="",IF($T90&lt;TODAY(),"未着手","予定"),IF($Y90="",IF($U90&lt;TODAY(),"遅延","仕掛"),"完了")))</f>
        <v>未着手</v>
      </c>
      <c r="AC90" s="145"/>
      <c r="AD90" s="145"/>
      <c r="AE90" s="145">
        <v>0.5</v>
      </c>
      <c r="AF90" s="145">
        <v>0.5</v>
      </c>
      <c r="AG90" s="145">
        <v>0.5</v>
      </c>
      <c r="AH90" s="145"/>
      <c r="AI90" s="145"/>
      <c r="AJ90" s="145">
        <v>0.5</v>
      </c>
      <c r="AK90" s="145">
        <v>0.5</v>
      </c>
      <c r="AL90" s="145">
        <v>0.5</v>
      </c>
      <c r="AM90" s="145">
        <v>0.5</v>
      </c>
      <c r="AN90" s="145">
        <v>0.5</v>
      </c>
      <c r="AO90" s="147"/>
      <c r="AP90" s="145"/>
      <c r="AQ90" s="145">
        <v>0.5</v>
      </c>
      <c r="AR90" s="145">
        <v>0.5</v>
      </c>
      <c r="AS90" s="145">
        <v>0.5</v>
      </c>
      <c r="AT90" s="145">
        <v>0.25</v>
      </c>
      <c r="AU90" s="145">
        <v>0.5</v>
      </c>
      <c r="AV90" s="145"/>
      <c r="AW90" s="145"/>
      <c r="AX90" s="145">
        <v>0.5</v>
      </c>
      <c r="AY90" s="145">
        <v>0.5</v>
      </c>
      <c r="AZ90" s="145">
        <v>0.25</v>
      </c>
      <c r="BA90" s="145">
        <v>0.25</v>
      </c>
      <c r="BB90" s="145">
        <v>0.75</v>
      </c>
      <c r="BC90" s="145">
        <v>0.5</v>
      </c>
      <c r="BD90" s="145"/>
      <c r="BE90" s="145"/>
      <c r="BF90" s="145"/>
      <c r="BG90" s="145"/>
      <c r="BH90" s="145"/>
      <c r="BI90" s="145"/>
      <c r="BJ90" s="145"/>
      <c r="BK90" s="145"/>
      <c r="BL90" s="145"/>
      <c r="BM90" s="145"/>
      <c r="BN90" s="145"/>
      <c r="BO90" s="145"/>
      <c r="BP90" s="145"/>
      <c r="BQ90" s="145"/>
      <c r="BR90" s="145"/>
      <c r="BS90" s="145"/>
      <c r="BT90" s="145"/>
      <c r="BU90" s="145"/>
      <c r="BV90" s="145"/>
      <c r="BW90" s="145"/>
      <c r="BX90" s="145"/>
      <c r="BY90" s="145"/>
      <c r="BZ90" s="145"/>
      <c r="CA90" s="145"/>
      <c r="CB90" s="145"/>
      <c r="CC90" s="145"/>
      <c r="CD90" s="145"/>
      <c r="CE90" s="145"/>
      <c r="CF90" s="145"/>
      <c r="CG90" s="145"/>
      <c r="CH90" s="145"/>
      <c r="CI90" s="145"/>
      <c r="CJ90" s="145"/>
      <c r="CK90" s="145"/>
      <c r="CL90" s="145"/>
      <c r="CM90" s="145"/>
      <c r="CN90" s="145"/>
      <c r="CO90" s="145"/>
      <c r="CP90" s="145"/>
      <c r="CQ90" s="145"/>
      <c r="CR90" s="145"/>
      <c r="CS90" s="145"/>
      <c r="CT90" s="145"/>
      <c r="CU90" s="145"/>
      <c r="CV90" s="145"/>
      <c r="CW90" s="145"/>
      <c r="CX90" s="145"/>
      <c r="CY90" s="145"/>
      <c r="CZ90" s="145"/>
      <c r="DA90" s="145"/>
      <c r="DB90" s="145"/>
      <c r="DC90" s="145"/>
      <c r="DD90" s="145"/>
      <c r="DE90" s="145"/>
      <c r="DF90" s="145"/>
      <c r="DG90" s="145"/>
      <c r="DH90" s="145"/>
      <c r="DI90" s="145"/>
      <c r="DJ90" s="145"/>
      <c r="DK90" s="145"/>
      <c r="DL90" s="145"/>
      <c r="DM90" s="145"/>
      <c r="DN90" s="145"/>
      <c r="DO90" s="145"/>
      <c r="DP90" s="145"/>
      <c r="DQ90" s="145"/>
      <c r="DR90" s="145"/>
      <c r="DS90" s="145"/>
      <c r="DT90" s="145"/>
      <c r="DU90" s="145"/>
      <c r="DV90" s="145"/>
      <c r="DW90" s="145"/>
      <c r="DX90" s="145"/>
      <c r="DY90" s="145"/>
      <c r="DZ90" s="145"/>
      <c r="EA90" s="145"/>
      <c r="EB90" s="145"/>
      <c r="EC90" s="145"/>
      <c r="ED90" s="145"/>
      <c r="EE90" s="145"/>
      <c r="EF90" s="145"/>
      <c r="EG90" s="145"/>
      <c r="EH90" s="145"/>
      <c r="EI90" s="145"/>
      <c r="EJ90" s="145"/>
      <c r="EK90" s="145"/>
      <c r="EL90" s="145"/>
      <c r="EM90" s="145"/>
      <c r="EN90" s="145"/>
      <c r="EO90" s="145"/>
      <c r="EP90" s="145"/>
      <c r="EQ90" s="145"/>
      <c r="ER90" s="145"/>
      <c r="ES90" s="145"/>
      <c r="ET90" s="145"/>
      <c r="EU90" s="145"/>
      <c r="EV90" s="145"/>
      <c r="EW90" s="145"/>
      <c r="EX90" s="145"/>
      <c r="EY90" s="145"/>
      <c r="EZ90" s="145"/>
      <c r="FA90" s="145"/>
      <c r="FB90" s="145"/>
      <c r="FC90" s="145"/>
      <c r="FD90" s="145"/>
      <c r="FE90" s="145"/>
      <c r="FF90" s="145"/>
      <c r="FG90" s="145"/>
      <c r="FH90" s="145"/>
      <c r="FI90" s="145"/>
      <c r="FJ90" s="145"/>
      <c r="FK90" s="145"/>
      <c r="FL90" s="145"/>
      <c r="FM90" s="145"/>
      <c r="FN90" s="145"/>
      <c r="FO90" s="145"/>
      <c r="FP90" s="145"/>
      <c r="FQ90" s="145"/>
      <c r="FR90" s="145"/>
      <c r="FS90" s="145"/>
      <c r="FT90" s="145"/>
      <c r="FU90" s="145"/>
      <c r="FV90" s="145"/>
      <c r="FW90" s="145"/>
      <c r="FX90" s="145"/>
      <c r="FY90" s="145"/>
      <c r="FZ90" s="145"/>
      <c r="GA90" s="145"/>
      <c r="GB90" s="141"/>
      <c r="GC90" s="141"/>
      <c r="GD90" s="141"/>
      <c r="GE90" s="141"/>
      <c r="GF90" s="141"/>
      <c r="GG90" s="141"/>
      <c r="GH90" s="141"/>
      <c r="GI90" s="141"/>
      <c r="GJ90" s="141"/>
      <c r="GK90" s="141"/>
      <c r="GL90" s="141"/>
      <c r="GM90" s="141"/>
      <c r="GN90" s="141"/>
      <c r="GO90" s="141"/>
      <c r="GP90" s="141"/>
      <c r="GQ90" s="141"/>
      <c r="GR90" s="141"/>
      <c r="GS90" s="141"/>
      <c r="GT90" s="141"/>
      <c r="GU90" s="141"/>
      <c r="GV90" s="141"/>
      <c r="GW90" s="141"/>
      <c r="GX90" s="141"/>
      <c r="GY90" s="141"/>
      <c r="GZ90" s="141"/>
      <c r="HA90" s="141"/>
      <c r="HB90" s="141"/>
      <c r="HC90" s="141"/>
    </row>
    <row r="91" spans="1:211" s="138" customFormat="1">
      <c r="A91" s="133">
        <f t="shared" si="19"/>
        <v>86</v>
      </c>
      <c r="B91" s="139" t="str">
        <f t="shared" ref="B91" si="155">MID(RIGHT(H91,8),1,7)</f>
        <v/>
      </c>
      <c r="C91" s="139" t="str">
        <f t="shared" ref="C91" si="156">MID(RIGHT(I91,8),1,7)</f>
        <v/>
      </c>
      <c r="D91" s="139" t="str">
        <f t="shared" ref="D91" si="157">MID(RIGHT(J91,8),1,7)</f>
        <v>理・自己作業な</v>
      </c>
      <c r="E91" s="139" t="str">
        <f t="shared" ref="E91" si="158">MID(RIGHT(K91,8),1,7)</f>
        <v/>
      </c>
      <c r="H91" s="131"/>
      <c r="I91" s="144"/>
      <c r="J91" s="131" t="s">
        <v>114</v>
      </c>
      <c r="K91" s="135"/>
      <c r="L91" s="136"/>
      <c r="M91" s="130"/>
      <c r="N91" s="134"/>
      <c r="O91" s="136"/>
      <c r="P91" s="136"/>
      <c r="Q91" s="136"/>
      <c r="R91" s="136"/>
      <c r="S91" s="137"/>
      <c r="T91" s="146">
        <v>41030</v>
      </c>
      <c r="U91" s="146"/>
      <c r="V91" s="129"/>
      <c r="W91" s="142" t="s">
        <v>155</v>
      </c>
      <c r="X91" s="146"/>
      <c r="Y91" s="146"/>
      <c r="Z91" s="132" t="str">
        <f ca="1">IF(SUM(AB91:HC91)=0,"",  SUM(AB91:HC91))</f>
        <v/>
      </c>
      <c r="AA91" s="143"/>
      <c r="AB91" s="140" t="str">
        <f ca="1">IF($T91="","",IF($X91="",IF($T91&lt;TODAY(),"未着手","予定"),IF($Y91="",IF($U91&lt;TODAY(),"遅延","仕掛"),"完了")))</f>
        <v>未着手</v>
      </c>
      <c r="AC91" s="145"/>
      <c r="AD91" s="145"/>
      <c r="AE91" s="145"/>
      <c r="AF91" s="145"/>
      <c r="AG91" s="145"/>
      <c r="AH91" s="145"/>
      <c r="AI91" s="145"/>
      <c r="AJ91" s="145"/>
      <c r="AK91" s="145"/>
      <c r="AL91" s="145"/>
      <c r="AM91" s="145"/>
      <c r="AN91" s="145"/>
      <c r="AO91" s="147"/>
      <c r="AP91" s="145"/>
      <c r="AQ91" s="145"/>
      <c r="AR91" s="145"/>
      <c r="AS91" s="145"/>
      <c r="AT91" s="145"/>
      <c r="AU91" s="145"/>
      <c r="AV91" s="145"/>
      <c r="AW91" s="145"/>
      <c r="AX91" s="145"/>
      <c r="AY91" s="145"/>
      <c r="AZ91" s="145"/>
      <c r="BA91" s="145"/>
      <c r="BB91" s="145"/>
      <c r="BC91" s="145"/>
      <c r="BD91" s="145"/>
      <c r="BE91" s="145"/>
      <c r="BF91" s="145"/>
      <c r="BG91" s="145"/>
      <c r="BH91" s="145"/>
      <c r="BI91" s="145"/>
      <c r="BJ91" s="145"/>
      <c r="BK91" s="145"/>
      <c r="BL91" s="145"/>
      <c r="BM91" s="145"/>
      <c r="BN91" s="145"/>
      <c r="BO91" s="145"/>
      <c r="BP91" s="145"/>
      <c r="BQ91" s="145"/>
      <c r="BR91" s="145"/>
      <c r="BS91" s="145"/>
      <c r="BT91" s="145"/>
      <c r="BU91" s="145"/>
      <c r="BV91" s="145"/>
      <c r="BW91" s="145"/>
      <c r="BX91" s="145"/>
      <c r="BY91" s="145"/>
      <c r="BZ91" s="145"/>
      <c r="CA91" s="145"/>
      <c r="CB91" s="145"/>
      <c r="CC91" s="145"/>
      <c r="CD91" s="145"/>
      <c r="CE91" s="145"/>
      <c r="CF91" s="145"/>
      <c r="CG91" s="145"/>
      <c r="CH91" s="145"/>
      <c r="CI91" s="145"/>
      <c r="CJ91" s="145"/>
      <c r="CK91" s="145"/>
      <c r="CL91" s="145"/>
      <c r="CM91" s="145"/>
      <c r="CN91" s="145"/>
      <c r="CO91" s="145"/>
      <c r="CP91" s="145"/>
      <c r="CQ91" s="145"/>
      <c r="CR91" s="145"/>
      <c r="CS91" s="145"/>
      <c r="CT91" s="145"/>
      <c r="CU91" s="145"/>
      <c r="CV91" s="145"/>
      <c r="CW91" s="145"/>
      <c r="CX91" s="145"/>
      <c r="CY91" s="145"/>
      <c r="CZ91" s="145"/>
      <c r="DA91" s="145"/>
      <c r="DB91" s="145"/>
      <c r="DC91" s="145"/>
      <c r="DD91" s="145"/>
      <c r="DE91" s="145"/>
      <c r="DF91" s="145"/>
      <c r="DG91" s="145"/>
      <c r="DH91" s="145"/>
      <c r="DI91" s="145"/>
      <c r="DJ91" s="145"/>
      <c r="DK91" s="145"/>
      <c r="DL91" s="145"/>
      <c r="DM91" s="145"/>
      <c r="DN91" s="145"/>
      <c r="DO91" s="145"/>
      <c r="DP91" s="145"/>
      <c r="DQ91" s="145"/>
      <c r="DR91" s="145"/>
      <c r="DS91" s="145"/>
      <c r="DT91" s="145"/>
      <c r="DU91" s="145"/>
      <c r="DV91" s="145"/>
      <c r="DW91" s="145"/>
      <c r="DX91" s="145"/>
      <c r="DY91" s="145"/>
      <c r="DZ91" s="145"/>
      <c r="EA91" s="145"/>
      <c r="EB91" s="145"/>
      <c r="EC91" s="145"/>
      <c r="ED91" s="145"/>
      <c r="EE91" s="145"/>
      <c r="EF91" s="145"/>
      <c r="EG91" s="145"/>
      <c r="EH91" s="145"/>
      <c r="EI91" s="145"/>
      <c r="EJ91" s="145"/>
      <c r="EK91" s="145"/>
      <c r="EL91" s="145"/>
      <c r="EM91" s="145"/>
      <c r="EN91" s="145"/>
      <c r="EO91" s="145"/>
      <c r="EP91" s="145"/>
      <c r="EQ91" s="145"/>
      <c r="ER91" s="145"/>
      <c r="ES91" s="145"/>
      <c r="ET91" s="145"/>
      <c r="EU91" s="145"/>
      <c r="EV91" s="145"/>
      <c r="EW91" s="145"/>
      <c r="EX91" s="145"/>
      <c r="EY91" s="145"/>
      <c r="EZ91" s="145"/>
      <c r="FA91" s="145"/>
      <c r="FB91" s="145"/>
      <c r="FC91" s="145"/>
      <c r="FD91" s="145"/>
      <c r="FE91" s="145"/>
      <c r="FF91" s="145"/>
      <c r="FG91" s="145"/>
      <c r="FH91" s="145"/>
      <c r="FI91" s="145"/>
      <c r="FJ91" s="145"/>
      <c r="FK91" s="145"/>
      <c r="FL91" s="145"/>
      <c r="FM91" s="145"/>
      <c r="FN91" s="145"/>
      <c r="FO91" s="145"/>
      <c r="FP91" s="145"/>
      <c r="FQ91" s="145"/>
      <c r="FR91" s="145"/>
      <c r="FS91" s="145"/>
      <c r="FT91" s="145"/>
      <c r="FU91" s="145"/>
      <c r="FV91" s="145"/>
      <c r="FW91" s="145"/>
      <c r="FX91" s="145"/>
      <c r="FY91" s="145"/>
      <c r="FZ91" s="145"/>
      <c r="GA91" s="145"/>
      <c r="GB91" s="141"/>
      <c r="GC91" s="141"/>
      <c r="GD91" s="141"/>
      <c r="GE91" s="141"/>
      <c r="GF91" s="141"/>
      <c r="GG91" s="141"/>
      <c r="GH91" s="141"/>
      <c r="GI91" s="141"/>
      <c r="GJ91" s="141"/>
      <c r="GK91" s="141"/>
      <c r="GL91" s="141"/>
      <c r="GM91" s="141"/>
      <c r="GN91" s="141"/>
      <c r="GO91" s="141"/>
      <c r="GP91" s="141"/>
      <c r="GQ91" s="141"/>
      <c r="GR91" s="141"/>
      <c r="GS91" s="141"/>
      <c r="GT91" s="141"/>
      <c r="GU91" s="141"/>
      <c r="GV91" s="141"/>
      <c r="GW91" s="141"/>
      <c r="GX91" s="141"/>
      <c r="GY91" s="141"/>
      <c r="GZ91" s="141"/>
      <c r="HA91" s="141"/>
      <c r="HB91" s="141"/>
      <c r="HC91" s="141"/>
    </row>
  </sheetData>
  <autoFilter ref="W5:W91"/>
  <dataConsolidate/>
  <customSheetViews>
    <customSheetView guid="{69E5A7CD-EFA2-4E6E-B41F-90B1BC31EF03}" showAutoFilter="1">
      <pane xSplit="28" ySplit="5" topLeftCell="BS12" activePane="bottomRight" state="frozen"/>
      <selection pane="bottomRight" activeCell="BZ18" sqref="BZ18"/>
      <pageMargins left="0.7" right="0.7" top="0.75" bottom="0.75" header="0.3" footer="0.3"/>
      <pageSetup paperSize="9" orientation="portrait" r:id="rId1"/>
      <headerFooter alignWithMargins="0">
        <oddHeader>&amp;L&amp;16&amp;U&amp;A&amp;R&amp;P/&amp;N</oddHeader>
        <oddFooter>&amp;C&amp;P / &amp;N</oddFooter>
      </headerFooter>
      <autoFilter ref="W5:W82"/>
    </customSheetView>
    <customSheetView guid="{9F5EFB95-D083-4C81-8F9A-64900C39821A}" scale="85" showAutoFilter="1" hiddenColumns="1">
      <pane xSplit="28" ySplit="5" topLeftCell="AC6" activePane="bottomRight" state="frozen"/>
      <selection pane="bottomRight" activeCell="BH22" sqref="BH22"/>
      <pageMargins left="0.7" right="0.7" top="0.75" bottom="0.75" header="0.3" footer="0.3"/>
      <pageSetup paperSize="9" orientation="portrait" r:id="rId2"/>
      <headerFooter alignWithMargins="0">
        <oddHeader>&amp;L&amp;16&amp;U&amp;A&amp;R&amp;P/&amp;N</oddHeader>
        <oddFooter>&amp;C&amp;P / &amp;N</oddFooter>
      </headerFooter>
      <autoFilter ref="W5:W44"/>
    </customSheetView>
    <customSheetView guid="{F56809A7-9798-46A2-B48D-93B8D9283A05}" scale="85" showAutoFilter="1">
      <pane xSplit="28" ySplit="5" topLeftCell="AC6" activePane="bottomRight" state="frozen"/>
      <selection pane="bottomRight" sqref="A1:S1"/>
      <pageMargins left="0.7" right="0.7" top="0.75" bottom="0.75" header="0.3" footer="0.3"/>
      <pageSetup paperSize="9" orientation="portrait" r:id="rId3"/>
      <headerFooter alignWithMargins="0">
        <oddHeader>&amp;L&amp;16&amp;U&amp;A&amp;R&amp;P/&amp;N</oddHeader>
        <oddFooter>&amp;C&amp;P / &amp;N</oddFooter>
      </headerFooter>
      <autoFilter ref="W5:W66"/>
    </customSheetView>
    <customSheetView guid="{72746006-79BE-434E-8086-C6AB5C5D2585}" scale="85" showAutoFilter="1">
      <pane xSplit="28" ySplit="5" topLeftCell="BK6" activePane="bottomRight" state="frozen"/>
      <selection pane="bottomRight" activeCell="BQ6" sqref="BQ6"/>
      <pageMargins left="0.7" right="0.7" top="0.75" bottom="0.75" header="0.3" footer="0.3"/>
      <pageSetup paperSize="9" orientation="portrait" r:id="rId4"/>
      <headerFooter alignWithMargins="0">
        <oddHeader>&amp;L&amp;16&amp;U&amp;A&amp;R&amp;P/&amp;N</oddHeader>
        <oddFooter>&amp;C&amp;P / &amp;N</oddFooter>
      </headerFooter>
      <autoFilter ref="W5:W82"/>
    </customSheetView>
  </customSheetViews>
  <mergeCells count="8">
    <mergeCell ref="X1:AB2"/>
    <mergeCell ref="AB3:AB4"/>
    <mergeCell ref="A3:A4"/>
    <mergeCell ref="T3:W3"/>
    <mergeCell ref="X3:AA3"/>
    <mergeCell ref="B3:F4"/>
    <mergeCell ref="A1:S1"/>
    <mergeCell ref="A2:S2"/>
  </mergeCells>
  <phoneticPr fontId="2"/>
  <conditionalFormatting sqref="AC186:GG197">
    <cfRule type="expression" dxfId="25" priority="10863" stopIfTrue="1">
      <formula>AND(#REF!&lt;=AC$3,#REF!&gt;=AC$3)</formula>
    </cfRule>
  </conditionalFormatting>
  <conditionalFormatting sqref="AC1:HC1">
    <cfRule type="expression" dxfId="24" priority="10866" stopIfTrue="1">
      <formula>IF(AC$1&lt;&gt;"",1,0)</formula>
    </cfRule>
  </conditionalFormatting>
  <conditionalFormatting sqref="AC2:HC2">
    <cfRule type="expression" dxfId="23" priority="10867" stopIfTrue="1">
      <formula>IF(AC$2&lt;&gt;"",1,0)</formula>
    </cfRule>
  </conditionalFormatting>
  <conditionalFormatting sqref="AC6:GG90">
    <cfRule type="expression" dxfId="22" priority="10882" stopIfTrue="1">
      <formula>AND($T6&lt;=AC$3,$U6&gt;=AC$3)</formula>
    </cfRule>
  </conditionalFormatting>
  <conditionalFormatting sqref="X6:Y7">
    <cfRule type="expression" dxfId="21" priority="10875" stopIfTrue="1">
      <formula>IF(T6&lt;&gt;"",IF(X6="",IF(T6=TODAY(),1,0),0),0)</formula>
    </cfRule>
    <cfRule type="expression" dxfId="20" priority="10876" stopIfTrue="1">
      <formula>IF(T6&lt;&gt;"",IF(X6="",IF(T6&lt;TODAY(),1,0),0),0)</formula>
    </cfRule>
  </conditionalFormatting>
  <conditionalFormatting sqref="AB6:AB90">
    <cfRule type="cellIs" dxfId="19" priority="10877" stopIfTrue="1" operator="equal">
      <formula>"完了"</formula>
    </cfRule>
    <cfRule type="expression" dxfId="18" priority="10878" stopIfTrue="1">
      <formula>OR($AB6="遅延",$AB6="未着手")</formula>
    </cfRule>
    <cfRule type="cellIs" dxfId="17" priority="10879" stopIfTrue="1" operator="equal">
      <formula>"仕掛"</formula>
    </cfRule>
  </conditionalFormatting>
  <conditionalFormatting sqref="Z6:Z90">
    <cfRule type="cellIs" dxfId="16" priority="10880" stopIfTrue="1" operator="lessThan">
      <formula>$V6</formula>
    </cfRule>
    <cfRule type="cellIs" dxfId="15" priority="10881" stopIfTrue="1" operator="greaterThan">
      <formula>$V6</formula>
    </cfRule>
  </conditionalFormatting>
  <conditionalFormatting sqref="AB186:AB197">
    <cfRule type="cellIs" dxfId="14" priority="10868" stopIfTrue="1" operator="equal">
      <formula>"完了"</formula>
    </cfRule>
    <cfRule type="expression" dxfId="13" priority="10869" stopIfTrue="1">
      <formula>OR(#REF!="遅延",#REF!="未着手")</formula>
    </cfRule>
    <cfRule type="cellIs" dxfId="12" priority="10870" stopIfTrue="1" operator="equal">
      <formula>"仕掛"</formula>
    </cfRule>
  </conditionalFormatting>
  <conditionalFormatting sqref="Z186:Z197">
    <cfRule type="cellIs" dxfId="11" priority="10871" stopIfTrue="1" operator="lessThan">
      <formula>#REF!</formula>
    </cfRule>
    <cfRule type="cellIs" dxfId="10" priority="10872" stopIfTrue="1" operator="greaterThan">
      <formula>#REF!</formula>
    </cfRule>
  </conditionalFormatting>
  <conditionalFormatting sqref="X186:Y197">
    <cfRule type="expression" dxfId="9" priority="10873" stopIfTrue="1">
      <formula>IF(#REF!&lt;&gt;"",IF(X186="",IF(#REF!=TODAY(),1,0),0),0)</formula>
    </cfRule>
    <cfRule type="expression" dxfId="8" priority="10874" stopIfTrue="1">
      <formula>IF(#REF!&lt;&gt;"",IF(X186="",IF(#REF!&lt;TODAY(),1,0),0),0)</formula>
    </cfRule>
  </conditionalFormatting>
  <conditionalFormatting sqref="AC3:AC5">
    <cfRule type="expression" dxfId="7" priority="10883" stopIfTrue="1">
      <formula>IF($AC$3=TODAY(),1,0)</formula>
    </cfRule>
  </conditionalFormatting>
  <conditionalFormatting sqref="X8:Y8">
    <cfRule type="expression" dxfId="6" priority="7" stopIfTrue="1">
      <formula>IF(T8&lt;&gt;"",IF(X8="",IF(T8=TODAY(),1,0),0),0)</formula>
    </cfRule>
    <cfRule type="expression" dxfId="5" priority="8" stopIfTrue="1">
      <formula>IF(T8&lt;&gt;"",IF(X8="",IF(T8&lt;TODAY(),1,0),0),0)</formula>
    </cfRule>
  </conditionalFormatting>
  <conditionalFormatting sqref="X48:Y48">
    <cfRule type="expression" dxfId="4" priority="3" stopIfTrue="1">
      <formula>IF(T48&lt;&gt;"",IF(X48="",IF(T48=TODAY(),1,0),0),0)</formula>
    </cfRule>
    <cfRule type="expression" dxfId="3" priority="4" stopIfTrue="1">
      <formula>IF(T48&lt;&gt;"",IF(X48="",IF(T48&lt;TODAY(),1,0),0),0)</formula>
    </cfRule>
  </conditionalFormatting>
  <conditionalFormatting sqref="X74:Y74">
    <cfRule type="expression" dxfId="2" priority="1" stopIfTrue="1">
      <formula>IF(T74&lt;&gt;"",IF(X74="",IF(T74=TODAY(),1,0),0),0)</formula>
    </cfRule>
    <cfRule type="expression" dxfId="1" priority="2" stopIfTrue="1">
      <formula>IF(T74&lt;&gt;"",IF(X74="",IF(T74&lt;TODAY(),1,0),0),0)</formula>
    </cfRule>
  </conditionalFormatting>
  <dataValidations count="2">
    <dataValidation type="list" showInputMessage="1" showErrorMessage="1" sqref="W6:W63609">
      <formula1>Resource</formula1>
    </dataValidation>
    <dataValidation type="date" allowBlank="1" showInputMessage="1" showErrorMessage="1" errorTitle="無効な日付" error="適切な日付を入れてください" sqref="W2">
      <formula1>36526</formula1>
      <formula2>73050</formula2>
    </dataValidation>
  </dataValidations>
  <pageMargins left="0.7" right="0.7" top="0.75" bottom="0.75" header="0.3" footer="0.3"/>
  <pageSetup paperSize="9" orientation="portrait" r:id="rId5"/>
  <headerFooter alignWithMargins="0">
    <oddHeader>&amp;L&amp;16&amp;U&amp;A&amp;R&amp;P/&amp;N</oddHeader>
    <oddFooter>&amp;C&amp;P / &amp;N</oddFooter>
  </headerFooter>
  <legacyDrawing r:id="rId6"/>
  <controls>
    <control shapeId="1025" r:id="rId7" name="cmdRangeSummary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C1230"/>
  <sheetViews>
    <sheetView workbookViewId="0">
      <selection activeCell="E43" sqref="E43"/>
    </sheetView>
  </sheetViews>
  <sheetFormatPr defaultRowHeight="13.5"/>
  <cols>
    <col min="1" max="1" width="11.625" style="85" bestFit="1" customWidth="1"/>
    <col min="2" max="2" width="3.375" style="86" bestFit="1" customWidth="1"/>
    <col min="3" max="16384" width="9" style="83"/>
  </cols>
  <sheetData>
    <row r="1" spans="1:2">
      <c r="A1" s="81" t="s">
        <v>40</v>
      </c>
      <c r="B1" s="82"/>
    </row>
    <row r="2" spans="1:2">
      <c r="A2" s="81">
        <v>41034</v>
      </c>
      <c r="B2" s="84">
        <v>41034</v>
      </c>
    </row>
    <row r="3" spans="1:2">
      <c r="A3" s="81">
        <v>41035</v>
      </c>
      <c r="B3" s="84">
        <v>41035</v>
      </c>
    </row>
    <row r="4" spans="1:2">
      <c r="A4" s="81">
        <v>41041</v>
      </c>
      <c r="B4" s="84">
        <v>41041</v>
      </c>
    </row>
    <row r="5" spans="1:2">
      <c r="A5" s="81">
        <v>41042</v>
      </c>
      <c r="B5" s="84">
        <v>41042</v>
      </c>
    </row>
    <row r="6" spans="1:2">
      <c r="A6" s="81">
        <v>41048</v>
      </c>
      <c r="B6" s="84">
        <v>41048</v>
      </c>
    </row>
    <row r="7" spans="1:2">
      <c r="A7" s="81">
        <v>41049</v>
      </c>
      <c r="B7" s="84">
        <v>41049</v>
      </c>
    </row>
    <row r="8" spans="1:2">
      <c r="A8" s="81">
        <v>41055</v>
      </c>
      <c r="B8" s="84">
        <v>41055</v>
      </c>
    </row>
    <row r="9" spans="1:2">
      <c r="A9" s="81">
        <v>41056</v>
      </c>
      <c r="B9" s="84">
        <v>41056</v>
      </c>
    </row>
    <row r="10" spans="1:2">
      <c r="A10" s="81">
        <v>41062</v>
      </c>
      <c r="B10" s="84">
        <v>41062</v>
      </c>
    </row>
    <row r="11" spans="1:2">
      <c r="A11" s="81">
        <v>41063</v>
      </c>
      <c r="B11" s="84">
        <v>41063</v>
      </c>
    </row>
    <row r="12" spans="1:2">
      <c r="A12" s="81">
        <v>41069</v>
      </c>
      <c r="B12" s="84">
        <v>41069</v>
      </c>
    </row>
    <row r="13" spans="1:2">
      <c r="A13" s="81">
        <v>41070</v>
      </c>
      <c r="B13" s="84">
        <v>41070</v>
      </c>
    </row>
    <row r="14" spans="1:2">
      <c r="A14" s="81">
        <v>41076</v>
      </c>
      <c r="B14" s="84">
        <v>41076</v>
      </c>
    </row>
    <row r="15" spans="1:2">
      <c r="A15" s="81">
        <v>41077</v>
      </c>
      <c r="B15" s="84">
        <v>41077</v>
      </c>
    </row>
    <row r="16" spans="1:2">
      <c r="A16" s="81">
        <v>41083</v>
      </c>
      <c r="B16" s="84">
        <v>41083</v>
      </c>
    </row>
    <row r="17" spans="1:2">
      <c r="A17" s="81">
        <v>41084</v>
      </c>
      <c r="B17" s="84">
        <v>41084</v>
      </c>
    </row>
    <row r="18" spans="1:2">
      <c r="A18" s="81">
        <v>41090</v>
      </c>
      <c r="B18" s="84">
        <v>41090</v>
      </c>
    </row>
    <row r="19" spans="1:2">
      <c r="A19" s="81">
        <v>41091</v>
      </c>
      <c r="B19" s="84">
        <v>41091</v>
      </c>
    </row>
    <row r="20" spans="1:2">
      <c r="A20" s="81">
        <v>41097</v>
      </c>
      <c r="B20" s="84">
        <v>41097</v>
      </c>
    </row>
    <row r="21" spans="1:2">
      <c r="A21" s="81">
        <v>41098</v>
      </c>
      <c r="B21" s="84">
        <v>41098</v>
      </c>
    </row>
    <row r="22" spans="1:2">
      <c r="A22" s="81">
        <v>41104</v>
      </c>
      <c r="B22" s="84">
        <v>41104</v>
      </c>
    </row>
    <row r="23" spans="1:2">
      <c r="A23" s="81">
        <v>41105</v>
      </c>
      <c r="B23" s="84">
        <v>41105</v>
      </c>
    </row>
    <row r="24" spans="1:2">
      <c r="A24" s="81">
        <v>41111</v>
      </c>
      <c r="B24" s="84">
        <v>41111</v>
      </c>
    </row>
    <row r="25" spans="1:2">
      <c r="A25" s="81">
        <v>41112</v>
      </c>
      <c r="B25" s="84">
        <v>41112</v>
      </c>
    </row>
    <row r="26" spans="1:2">
      <c r="A26" s="81">
        <v>41118</v>
      </c>
      <c r="B26" s="84">
        <v>41118</v>
      </c>
    </row>
    <row r="27" spans="1:2">
      <c r="A27" s="81">
        <v>41119</v>
      </c>
      <c r="B27" s="84">
        <v>41119</v>
      </c>
    </row>
    <row r="28" spans="1:2">
      <c r="A28" s="81">
        <v>41125</v>
      </c>
      <c r="B28" s="84">
        <v>41125</v>
      </c>
    </row>
    <row r="29" spans="1:2">
      <c r="A29" s="81">
        <v>41126</v>
      </c>
      <c r="B29" s="84">
        <v>41126</v>
      </c>
    </row>
    <row r="30" spans="1:2">
      <c r="A30" s="81">
        <v>41132</v>
      </c>
      <c r="B30" s="84">
        <v>41132</v>
      </c>
    </row>
    <row r="31" spans="1:2">
      <c r="A31" s="81">
        <v>41133</v>
      </c>
      <c r="B31" s="84">
        <v>41133</v>
      </c>
    </row>
    <row r="32" spans="1:2">
      <c r="A32" s="81">
        <v>41139</v>
      </c>
      <c r="B32" s="84">
        <v>41139</v>
      </c>
    </row>
    <row r="33" spans="1:2">
      <c r="A33" s="81">
        <v>41140</v>
      </c>
      <c r="B33" s="84">
        <v>41140</v>
      </c>
    </row>
    <row r="34" spans="1:2">
      <c r="A34" s="81">
        <v>41146</v>
      </c>
      <c r="B34" s="84">
        <v>41146</v>
      </c>
    </row>
    <row r="35" spans="1:2">
      <c r="A35" s="81">
        <v>41147</v>
      </c>
      <c r="B35" s="84">
        <v>41147</v>
      </c>
    </row>
    <row r="36" spans="1:2">
      <c r="A36" s="81">
        <v>41153</v>
      </c>
      <c r="B36" s="84">
        <v>41153</v>
      </c>
    </row>
    <row r="37" spans="1:2">
      <c r="A37" s="81">
        <v>41154</v>
      </c>
      <c r="B37" s="84">
        <v>41154</v>
      </c>
    </row>
    <row r="38" spans="1:2">
      <c r="A38" s="81">
        <v>41160</v>
      </c>
      <c r="B38" s="84">
        <v>41160</v>
      </c>
    </row>
    <row r="39" spans="1:2">
      <c r="A39" s="81">
        <v>41161</v>
      </c>
      <c r="B39" s="84">
        <v>41161</v>
      </c>
    </row>
    <row r="40" spans="1:2">
      <c r="A40" s="81">
        <v>41167</v>
      </c>
      <c r="B40" s="84">
        <v>41167</v>
      </c>
    </row>
    <row r="41" spans="1:2">
      <c r="A41" s="81">
        <v>41168</v>
      </c>
      <c r="B41" s="84">
        <v>41168</v>
      </c>
    </row>
    <row r="42" spans="1:2">
      <c r="A42" s="81">
        <v>41174</v>
      </c>
      <c r="B42" s="84">
        <v>41174</v>
      </c>
    </row>
    <row r="43" spans="1:2">
      <c r="A43" s="81">
        <v>41175</v>
      </c>
      <c r="B43" s="84">
        <v>41175</v>
      </c>
    </row>
    <row r="44" spans="1:2">
      <c r="A44" s="81">
        <v>41181</v>
      </c>
      <c r="B44" s="84">
        <v>41181</v>
      </c>
    </row>
    <row r="45" spans="1:2">
      <c r="A45" s="81">
        <v>41182</v>
      </c>
      <c r="B45" s="84">
        <v>41182</v>
      </c>
    </row>
    <row r="46" spans="1:2">
      <c r="A46" s="81">
        <v>41188</v>
      </c>
      <c r="B46" s="84">
        <v>41188</v>
      </c>
    </row>
    <row r="47" spans="1:2">
      <c r="A47" s="81">
        <v>41189</v>
      </c>
      <c r="B47" s="84">
        <v>41189</v>
      </c>
    </row>
    <row r="48" spans="1:2">
      <c r="A48" s="81">
        <v>41195</v>
      </c>
      <c r="B48" s="84">
        <v>41195</v>
      </c>
    </row>
    <row r="49" spans="1:2">
      <c r="A49" s="81">
        <v>41196</v>
      </c>
      <c r="B49" s="84">
        <v>41196</v>
      </c>
    </row>
    <row r="50" spans="1:2">
      <c r="A50" s="81">
        <v>41202</v>
      </c>
      <c r="B50" s="84">
        <v>41202</v>
      </c>
    </row>
    <row r="51" spans="1:2">
      <c r="A51" s="81">
        <v>41203</v>
      </c>
      <c r="B51" s="84">
        <v>41203</v>
      </c>
    </row>
    <row r="52" spans="1:2">
      <c r="A52" s="81">
        <v>41209</v>
      </c>
      <c r="B52" s="84">
        <v>41209</v>
      </c>
    </row>
    <row r="53" spans="1:2">
      <c r="A53" s="81">
        <v>41210</v>
      </c>
      <c r="B53" s="84">
        <v>41210</v>
      </c>
    </row>
    <row r="54" spans="1:2">
      <c r="A54" s="81">
        <v>41216</v>
      </c>
      <c r="B54" s="84">
        <v>41216</v>
      </c>
    </row>
    <row r="55" spans="1:2">
      <c r="A55" s="81">
        <v>41217</v>
      </c>
      <c r="B55" s="84">
        <v>41217</v>
      </c>
    </row>
    <row r="56" spans="1:2">
      <c r="A56" s="81">
        <v>41223</v>
      </c>
      <c r="B56" s="84">
        <v>41223</v>
      </c>
    </row>
    <row r="57" spans="1:2">
      <c r="A57" s="81">
        <v>41224</v>
      </c>
      <c r="B57" s="84">
        <v>41224</v>
      </c>
    </row>
    <row r="58" spans="1:2">
      <c r="A58" s="81">
        <v>41230</v>
      </c>
      <c r="B58" s="84">
        <v>41230</v>
      </c>
    </row>
    <row r="59" spans="1:2">
      <c r="A59" s="81">
        <v>41231</v>
      </c>
      <c r="B59" s="84">
        <v>41231</v>
      </c>
    </row>
    <row r="60" spans="1:2">
      <c r="A60" s="81">
        <v>41237</v>
      </c>
      <c r="B60" s="84">
        <v>41237</v>
      </c>
    </row>
    <row r="61" spans="1:2">
      <c r="A61" s="81">
        <v>41238</v>
      </c>
      <c r="B61" s="84">
        <v>41238</v>
      </c>
    </row>
    <row r="62" spans="1:2">
      <c r="A62" s="81">
        <v>41244</v>
      </c>
      <c r="B62" s="84">
        <v>41244</v>
      </c>
    </row>
    <row r="63" spans="1:2">
      <c r="A63" s="81">
        <v>41245</v>
      </c>
      <c r="B63" s="84">
        <v>41245</v>
      </c>
    </row>
    <row r="64" spans="1:2">
      <c r="A64" s="81">
        <v>41251</v>
      </c>
      <c r="B64" s="84">
        <v>41251</v>
      </c>
    </row>
    <row r="65" spans="1:2">
      <c r="A65" s="81">
        <v>41252</v>
      </c>
      <c r="B65" s="84">
        <v>41252</v>
      </c>
    </row>
    <row r="66" spans="1:2">
      <c r="A66" s="81">
        <v>41258</v>
      </c>
      <c r="B66" s="84">
        <v>41258</v>
      </c>
    </row>
    <row r="67" spans="1:2">
      <c r="A67" s="81">
        <v>41259</v>
      </c>
      <c r="B67" s="84">
        <v>41259</v>
      </c>
    </row>
    <row r="68" spans="1:2">
      <c r="A68" s="81">
        <v>41265</v>
      </c>
      <c r="B68" s="84">
        <v>41265</v>
      </c>
    </row>
    <row r="69" spans="1:2">
      <c r="A69" s="81">
        <v>41266</v>
      </c>
      <c r="B69" s="84">
        <v>41266</v>
      </c>
    </row>
    <row r="70" spans="1:2">
      <c r="A70" s="81">
        <v>41272</v>
      </c>
      <c r="B70" s="84">
        <v>41272</v>
      </c>
    </row>
    <row r="71" spans="1:2">
      <c r="A71" s="81">
        <v>41273</v>
      </c>
      <c r="B71" s="84">
        <v>41273</v>
      </c>
    </row>
    <row r="72" spans="1:2">
      <c r="A72" s="81">
        <v>41279</v>
      </c>
      <c r="B72" s="84">
        <v>41279</v>
      </c>
    </row>
    <row r="73" spans="1:2">
      <c r="A73" s="81">
        <v>41280</v>
      </c>
      <c r="B73" s="84">
        <v>41280</v>
      </c>
    </row>
    <row r="74" spans="1:2">
      <c r="A74" s="81">
        <v>41286</v>
      </c>
      <c r="B74" s="84">
        <v>41286</v>
      </c>
    </row>
    <row r="75" spans="1:2">
      <c r="A75" s="81">
        <v>41287</v>
      </c>
      <c r="B75" s="84">
        <v>41287</v>
      </c>
    </row>
    <row r="76" spans="1:2">
      <c r="A76" s="81">
        <v>41293</v>
      </c>
      <c r="B76" s="84">
        <v>41293</v>
      </c>
    </row>
    <row r="77" spans="1:2">
      <c r="A77" s="81">
        <v>41294</v>
      </c>
      <c r="B77" s="84">
        <v>41294</v>
      </c>
    </row>
    <row r="78" spans="1:2">
      <c r="A78" s="81">
        <v>41300</v>
      </c>
      <c r="B78" s="84">
        <v>41300</v>
      </c>
    </row>
    <row r="79" spans="1:2">
      <c r="A79" s="81">
        <v>41301</v>
      </c>
      <c r="B79" s="84">
        <v>41301</v>
      </c>
    </row>
    <row r="80" spans="1:2">
      <c r="A80" s="81">
        <v>41307</v>
      </c>
      <c r="B80" s="84">
        <v>41307</v>
      </c>
    </row>
    <row r="81" spans="1:2">
      <c r="A81" s="81">
        <v>41308</v>
      </c>
      <c r="B81" s="84">
        <v>41308</v>
      </c>
    </row>
    <row r="82" spans="1:2">
      <c r="A82" s="81">
        <v>41314</v>
      </c>
      <c r="B82" s="84">
        <v>41314</v>
      </c>
    </row>
    <row r="83" spans="1:2">
      <c r="A83" s="81">
        <v>41315</v>
      </c>
      <c r="B83" s="84">
        <v>41315</v>
      </c>
    </row>
    <row r="84" spans="1:2">
      <c r="A84" s="81">
        <v>41321</v>
      </c>
      <c r="B84" s="84">
        <v>41321</v>
      </c>
    </row>
    <row r="85" spans="1:2">
      <c r="A85" s="81">
        <v>41322</v>
      </c>
      <c r="B85" s="84">
        <v>41322</v>
      </c>
    </row>
    <row r="86" spans="1:2">
      <c r="A86" s="81">
        <v>41328</v>
      </c>
      <c r="B86" s="84">
        <v>41328</v>
      </c>
    </row>
    <row r="87" spans="1:2">
      <c r="A87" s="81">
        <v>41329</v>
      </c>
      <c r="B87" s="84">
        <v>41329</v>
      </c>
    </row>
    <row r="88" spans="1:2">
      <c r="A88" s="81">
        <v>41335</v>
      </c>
      <c r="B88" s="84">
        <v>41335</v>
      </c>
    </row>
    <row r="89" spans="1:2">
      <c r="A89" s="81">
        <v>41336</v>
      </c>
      <c r="B89" s="84">
        <v>41336</v>
      </c>
    </row>
    <row r="90" spans="1:2">
      <c r="A90" s="81">
        <v>41342</v>
      </c>
      <c r="B90" s="84">
        <v>41342</v>
      </c>
    </row>
    <row r="91" spans="1:2">
      <c r="A91" s="81">
        <v>41343</v>
      </c>
      <c r="B91" s="84">
        <v>41343</v>
      </c>
    </row>
    <row r="92" spans="1:2">
      <c r="A92" s="81">
        <v>41349</v>
      </c>
      <c r="B92" s="84">
        <v>41349</v>
      </c>
    </row>
    <row r="93" spans="1:2">
      <c r="A93" s="81">
        <v>41350</v>
      </c>
      <c r="B93" s="84">
        <v>41350</v>
      </c>
    </row>
    <row r="94" spans="1:2">
      <c r="A94" s="81">
        <v>41356</v>
      </c>
      <c r="B94" s="84">
        <v>41356</v>
      </c>
    </row>
    <row r="95" spans="1:2">
      <c r="A95" s="81">
        <v>41357</v>
      </c>
      <c r="B95" s="84">
        <v>41357</v>
      </c>
    </row>
    <row r="96" spans="1:2">
      <c r="A96" s="81">
        <v>41363</v>
      </c>
      <c r="B96" s="84">
        <v>41363</v>
      </c>
    </row>
    <row r="97" spans="1:2">
      <c r="A97" s="81">
        <v>41364</v>
      </c>
      <c r="B97" s="84">
        <v>41364</v>
      </c>
    </row>
    <row r="98" spans="1:2">
      <c r="A98" s="81"/>
      <c r="B98" s="84"/>
    </row>
    <row r="99" spans="1:2">
      <c r="A99" s="81"/>
      <c r="B99" s="84"/>
    </row>
    <row r="100" spans="1:2">
      <c r="A100" s="81"/>
      <c r="B100" s="84"/>
    </row>
    <row r="101" spans="1:2">
      <c r="A101" s="81"/>
      <c r="B101" s="84"/>
    </row>
    <row r="102" spans="1:2">
      <c r="A102" s="81"/>
      <c r="B102" s="84"/>
    </row>
    <row r="103" spans="1:2">
      <c r="A103" s="81"/>
      <c r="B103" s="84"/>
    </row>
    <row r="104" spans="1:2">
      <c r="A104" s="81"/>
      <c r="B104" s="84"/>
    </row>
    <row r="105" spans="1:2">
      <c r="A105" s="81"/>
      <c r="B105" s="84"/>
    </row>
    <row r="106" spans="1:2">
      <c r="A106" s="81"/>
      <c r="B106" s="84"/>
    </row>
    <row r="107" spans="1:2">
      <c r="A107" s="81"/>
      <c r="B107" s="84"/>
    </row>
    <row r="108" spans="1:2">
      <c r="A108" s="81"/>
      <c r="B108" s="84"/>
    </row>
    <row r="109" spans="1:2">
      <c r="A109" s="81"/>
      <c r="B109" s="84"/>
    </row>
    <row r="110" spans="1:2">
      <c r="A110" s="81"/>
      <c r="B110" s="84"/>
    </row>
    <row r="111" spans="1:2">
      <c r="A111" s="81"/>
      <c r="B111" s="84"/>
    </row>
    <row r="112" spans="1:2">
      <c r="A112" s="81"/>
      <c r="B112" s="84"/>
    </row>
    <row r="113" spans="1:2">
      <c r="A113" s="81"/>
      <c r="B113" s="84"/>
    </row>
    <row r="114" spans="1:2">
      <c r="A114" s="81"/>
      <c r="B114" s="84"/>
    </row>
    <row r="115" spans="1:2">
      <c r="A115" s="81"/>
      <c r="B115" s="84"/>
    </row>
    <row r="116" spans="1:2">
      <c r="A116" s="81"/>
      <c r="B116" s="84"/>
    </row>
    <row r="117" spans="1:2">
      <c r="A117" s="81"/>
      <c r="B117" s="84"/>
    </row>
    <row r="118" spans="1:2">
      <c r="A118" s="81"/>
      <c r="B118" s="84"/>
    </row>
    <row r="119" spans="1:2">
      <c r="A119" s="81"/>
      <c r="B119" s="84"/>
    </row>
    <row r="120" spans="1:2">
      <c r="A120" s="81"/>
      <c r="B120" s="84"/>
    </row>
    <row r="121" spans="1:2">
      <c r="A121" s="81"/>
      <c r="B121" s="84"/>
    </row>
    <row r="122" spans="1:2">
      <c r="A122" s="81"/>
      <c r="B122" s="84"/>
    </row>
    <row r="123" spans="1:2">
      <c r="A123" s="81"/>
      <c r="B123" s="84"/>
    </row>
    <row r="124" spans="1:2">
      <c r="A124" s="81"/>
      <c r="B124" s="84"/>
    </row>
    <row r="125" spans="1:2">
      <c r="A125" s="81"/>
      <c r="B125" s="84"/>
    </row>
    <row r="126" spans="1:2">
      <c r="A126" s="81"/>
      <c r="B126" s="84"/>
    </row>
    <row r="127" spans="1:2">
      <c r="A127" s="81"/>
      <c r="B127" s="84"/>
    </row>
    <row r="128" spans="1:2">
      <c r="A128" s="81"/>
      <c r="B128" s="84"/>
    </row>
    <row r="129" spans="1:2">
      <c r="A129" s="81"/>
      <c r="B129" s="84"/>
    </row>
    <row r="130" spans="1:2">
      <c r="A130" s="81"/>
      <c r="B130" s="84"/>
    </row>
    <row r="131" spans="1:2">
      <c r="A131" s="81"/>
      <c r="B131" s="84"/>
    </row>
    <row r="132" spans="1:2">
      <c r="A132" s="81"/>
      <c r="B132" s="84"/>
    </row>
    <row r="133" spans="1:2">
      <c r="A133" s="81"/>
      <c r="B133" s="84"/>
    </row>
    <row r="134" spans="1:2">
      <c r="A134" s="81"/>
      <c r="B134" s="84"/>
    </row>
    <row r="135" spans="1:2">
      <c r="A135" s="81"/>
      <c r="B135" s="84"/>
    </row>
    <row r="136" spans="1:2">
      <c r="A136" s="81"/>
      <c r="B136" s="84"/>
    </row>
    <row r="137" spans="1:2">
      <c r="A137" s="81"/>
      <c r="B137" s="84"/>
    </row>
    <row r="138" spans="1:2">
      <c r="A138" s="81"/>
      <c r="B138" s="84"/>
    </row>
    <row r="139" spans="1:2">
      <c r="A139" s="81"/>
      <c r="B139" s="84"/>
    </row>
    <row r="140" spans="1:2">
      <c r="A140" s="81"/>
      <c r="B140" s="84"/>
    </row>
    <row r="141" spans="1:2">
      <c r="A141" s="81"/>
      <c r="B141" s="84"/>
    </row>
    <row r="142" spans="1:2">
      <c r="A142" s="81"/>
      <c r="B142" s="84"/>
    </row>
    <row r="143" spans="1:2">
      <c r="A143" s="81"/>
      <c r="B143" s="84"/>
    </row>
    <row r="144" spans="1:2">
      <c r="A144" s="81"/>
      <c r="B144" s="84"/>
    </row>
    <row r="145" spans="1:2">
      <c r="A145" s="81"/>
      <c r="B145" s="84"/>
    </row>
    <row r="146" spans="1:2">
      <c r="A146" s="81"/>
      <c r="B146" s="84"/>
    </row>
    <row r="147" spans="1:2">
      <c r="A147" s="81"/>
      <c r="B147" s="84"/>
    </row>
    <row r="148" spans="1:2">
      <c r="A148" s="81"/>
      <c r="B148" s="84"/>
    </row>
    <row r="149" spans="1:2">
      <c r="A149" s="81"/>
      <c r="B149" s="84"/>
    </row>
    <row r="150" spans="1:2">
      <c r="A150" s="81"/>
      <c r="B150" s="84"/>
    </row>
    <row r="151" spans="1:2">
      <c r="A151" s="81"/>
      <c r="B151" s="84"/>
    </row>
    <row r="152" spans="1:2">
      <c r="A152" s="81"/>
      <c r="B152" s="84"/>
    </row>
    <row r="153" spans="1:2">
      <c r="A153" s="81"/>
      <c r="B153" s="84"/>
    </row>
    <row r="154" spans="1:2">
      <c r="A154" s="81"/>
      <c r="B154" s="84"/>
    </row>
    <row r="155" spans="1:2">
      <c r="A155" s="81"/>
      <c r="B155" s="84"/>
    </row>
    <row r="156" spans="1:2">
      <c r="A156" s="81"/>
      <c r="B156" s="84"/>
    </row>
    <row r="157" spans="1:2">
      <c r="A157" s="81"/>
      <c r="B157" s="84"/>
    </row>
    <row r="158" spans="1:2">
      <c r="A158" s="81"/>
      <c r="B158" s="84"/>
    </row>
    <row r="159" spans="1:2">
      <c r="A159" s="81"/>
      <c r="B159" s="84"/>
    </row>
    <row r="160" spans="1:2">
      <c r="A160" s="81"/>
      <c r="B160" s="84"/>
    </row>
    <row r="161" spans="1:2">
      <c r="A161" s="81"/>
      <c r="B161" s="84"/>
    </row>
    <row r="162" spans="1:2">
      <c r="A162" s="81"/>
      <c r="B162" s="84"/>
    </row>
    <row r="163" spans="1:2">
      <c r="A163" s="81"/>
      <c r="B163" s="84"/>
    </row>
    <row r="164" spans="1:2">
      <c r="A164" s="81"/>
      <c r="B164" s="84"/>
    </row>
    <row r="165" spans="1:2">
      <c r="A165" s="81"/>
      <c r="B165" s="84"/>
    </row>
    <row r="166" spans="1:2">
      <c r="A166" s="81"/>
      <c r="B166" s="84"/>
    </row>
    <row r="167" spans="1:2">
      <c r="A167" s="81"/>
      <c r="B167" s="84"/>
    </row>
    <row r="168" spans="1:2">
      <c r="A168" s="81"/>
      <c r="B168" s="84"/>
    </row>
    <row r="169" spans="1:2">
      <c r="A169" s="81"/>
      <c r="B169" s="84"/>
    </row>
    <row r="170" spans="1:2">
      <c r="A170" s="81"/>
      <c r="B170" s="84"/>
    </row>
    <row r="171" spans="1:2">
      <c r="A171" s="81"/>
      <c r="B171" s="84"/>
    </row>
    <row r="172" spans="1:2">
      <c r="A172" s="81"/>
      <c r="B172" s="84"/>
    </row>
    <row r="173" spans="1:2">
      <c r="A173" s="81"/>
      <c r="B173" s="84"/>
    </row>
    <row r="174" spans="1:2">
      <c r="A174" s="81"/>
      <c r="B174" s="84"/>
    </row>
    <row r="175" spans="1:2">
      <c r="A175" s="81"/>
      <c r="B175" s="84"/>
    </row>
    <row r="176" spans="1:2">
      <c r="A176" s="81"/>
      <c r="B176" s="84"/>
    </row>
    <row r="177" spans="1:2">
      <c r="A177" s="81"/>
      <c r="B177" s="84"/>
    </row>
    <row r="178" spans="1:2">
      <c r="A178" s="81"/>
      <c r="B178" s="84"/>
    </row>
    <row r="179" spans="1:2">
      <c r="A179" s="81"/>
      <c r="B179" s="84"/>
    </row>
    <row r="180" spans="1:2">
      <c r="A180" s="81"/>
      <c r="B180" s="84"/>
    </row>
    <row r="181" spans="1:2">
      <c r="A181" s="81"/>
      <c r="B181" s="84"/>
    </row>
    <row r="182" spans="1:2">
      <c r="A182" s="81"/>
      <c r="B182" s="84"/>
    </row>
    <row r="183" spans="1:2">
      <c r="A183" s="81"/>
      <c r="B183" s="84"/>
    </row>
    <row r="184" spans="1:2">
      <c r="A184" s="81"/>
      <c r="B184" s="84"/>
    </row>
    <row r="185" spans="1:2">
      <c r="A185" s="81"/>
      <c r="B185" s="84"/>
    </row>
    <row r="186" spans="1:2">
      <c r="A186" s="81"/>
      <c r="B186" s="84"/>
    </row>
    <row r="187" spans="1:2">
      <c r="A187" s="81"/>
      <c r="B187" s="84"/>
    </row>
    <row r="188" spans="1:2">
      <c r="A188" s="81"/>
      <c r="B188" s="84"/>
    </row>
    <row r="189" spans="1:2">
      <c r="A189" s="81"/>
      <c r="B189" s="84"/>
    </row>
    <row r="190" spans="1:2">
      <c r="A190" s="81"/>
      <c r="B190" s="84"/>
    </row>
    <row r="191" spans="1:2">
      <c r="A191" s="81"/>
      <c r="B191" s="84"/>
    </row>
    <row r="192" spans="1:2">
      <c r="A192" s="81"/>
      <c r="B192" s="84"/>
    </row>
    <row r="193" spans="1:2">
      <c r="A193" s="81"/>
      <c r="B193" s="84"/>
    </row>
    <row r="194" spans="1:2">
      <c r="A194" s="81"/>
      <c r="B194" s="84"/>
    </row>
    <row r="195" spans="1:2">
      <c r="A195" s="81"/>
      <c r="B195" s="84"/>
    </row>
    <row r="196" spans="1:2">
      <c r="A196" s="81"/>
      <c r="B196" s="84"/>
    </row>
    <row r="197" spans="1:2">
      <c r="A197" s="81"/>
      <c r="B197" s="84"/>
    </row>
    <row r="198" spans="1:2">
      <c r="A198" s="81"/>
      <c r="B198" s="84"/>
    </row>
    <row r="199" spans="1:2">
      <c r="A199" s="81"/>
      <c r="B199" s="84"/>
    </row>
    <row r="200" spans="1:2">
      <c r="A200" s="81"/>
      <c r="B200" s="84"/>
    </row>
    <row r="201" spans="1:2">
      <c r="A201" s="81"/>
      <c r="B201" s="84"/>
    </row>
    <row r="202" spans="1:2">
      <c r="A202" s="81"/>
      <c r="B202" s="84"/>
    </row>
    <row r="203" spans="1:2">
      <c r="A203" s="81"/>
      <c r="B203" s="84"/>
    </row>
    <row r="204" spans="1:2">
      <c r="A204" s="81"/>
      <c r="B204" s="84"/>
    </row>
    <row r="205" spans="1:2">
      <c r="A205" s="81"/>
      <c r="B205" s="84"/>
    </row>
    <row r="206" spans="1:2">
      <c r="A206" s="81"/>
      <c r="B206" s="84"/>
    </row>
    <row r="207" spans="1:2">
      <c r="A207" s="81"/>
      <c r="B207" s="84"/>
    </row>
    <row r="208" spans="1:2">
      <c r="A208" s="81"/>
      <c r="B208" s="84"/>
    </row>
    <row r="209" spans="1:2">
      <c r="A209" s="81"/>
      <c r="B209" s="84"/>
    </row>
    <row r="210" spans="1:2">
      <c r="A210" s="81"/>
      <c r="B210" s="84"/>
    </row>
    <row r="211" spans="1:2">
      <c r="A211" s="81"/>
      <c r="B211" s="84"/>
    </row>
    <row r="212" spans="1:2">
      <c r="A212" s="81"/>
      <c r="B212" s="84"/>
    </row>
    <row r="213" spans="1:2">
      <c r="A213" s="81"/>
      <c r="B213" s="84"/>
    </row>
    <row r="214" spans="1:2">
      <c r="A214" s="81"/>
      <c r="B214" s="84"/>
    </row>
    <row r="215" spans="1:2">
      <c r="A215" s="81"/>
      <c r="B215" s="84"/>
    </row>
    <row r="216" spans="1:2">
      <c r="A216" s="81"/>
      <c r="B216" s="84"/>
    </row>
    <row r="217" spans="1:2">
      <c r="A217" s="81"/>
      <c r="B217" s="84"/>
    </row>
    <row r="218" spans="1:2">
      <c r="A218" s="81"/>
      <c r="B218" s="84"/>
    </row>
    <row r="219" spans="1:2">
      <c r="A219" s="81"/>
      <c r="B219" s="84"/>
    </row>
    <row r="220" spans="1:2">
      <c r="A220" s="81"/>
      <c r="B220" s="84"/>
    </row>
    <row r="221" spans="1:2">
      <c r="A221" s="81"/>
      <c r="B221" s="84"/>
    </row>
    <row r="222" spans="1:2">
      <c r="A222" s="81"/>
      <c r="B222" s="84"/>
    </row>
    <row r="223" spans="1:2">
      <c r="A223" s="81"/>
      <c r="B223" s="84"/>
    </row>
    <row r="224" spans="1:2">
      <c r="A224" s="81"/>
      <c r="B224" s="84"/>
    </row>
    <row r="225" spans="1:2">
      <c r="A225" s="81"/>
      <c r="B225" s="84"/>
    </row>
    <row r="226" spans="1:2">
      <c r="A226" s="81"/>
      <c r="B226" s="84"/>
    </row>
    <row r="227" spans="1:2">
      <c r="A227" s="81"/>
      <c r="B227" s="84"/>
    </row>
    <row r="228" spans="1:2">
      <c r="A228" s="81"/>
      <c r="B228" s="84"/>
    </row>
    <row r="229" spans="1:2">
      <c r="A229" s="81"/>
      <c r="B229" s="84"/>
    </row>
    <row r="230" spans="1:2">
      <c r="A230" s="81"/>
      <c r="B230" s="84"/>
    </row>
    <row r="231" spans="1:2">
      <c r="A231" s="81"/>
      <c r="B231" s="84"/>
    </row>
    <row r="232" spans="1:2">
      <c r="A232" s="81"/>
      <c r="B232" s="84"/>
    </row>
    <row r="233" spans="1:2">
      <c r="A233" s="81"/>
      <c r="B233" s="84"/>
    </row>
    <row r="234" spans="1:2">
      <c r="A234" s="81"/>
      <c r="B234" s="84"/>
    </row>
    <row r="235" spans="1:2">
      <c r="A235" s="81"/>
      <c r="B235" s="84"/>
    </row>
    <row r="236" spans="1:2">
      <c r="A236" s="81"/>
      <c r="B236" s="84"/>
    </row>
    <row r="237" spans="1:2">
      <c r="A237" s="81"/>
      <c r="B237" s="84"/>
    </row>
    <row r="238" spans="1:2">
      <c r="A238" s="81"/>
      <c r="B238" s="84"/>
    </row>
    <row r="239" spans="1:2">
      <c r="A239" s="81"/>
      <c r="B239" s="84"/>
    </row>
    <row r="240" spans="1:2">
      <c r="A240" s="81"/>
      <c r="B240" s="84"/>
    </row>
    <row r="241" spans="1:2">
      <c r="A241" s="81"/>
      <c r="B241" s="84"/>
    </row>
    <row r="242" spans="1:2">
      <c r="A242" s="81"/>
      <c r="B242" s="84"/>
    </row>
    <row r="243" spans="1:2">
      <c r="A243" s="81"/>
      <c r="B243" s="84"/>
    </row>
    <row r="244" spans="1:2">
      <c r="A244" s="81"/>
      <c r="B244" s="84"/>
    </row>
    <row r="245" spans="1:2">
      <c r="A245" s="81"/>
      <c r="B245" s="84"/>
    </row>
    <row r="246" spans="1:2">
      <c r="A246" s="81"/>
      <c r="B246" s="84"/>
    </row>
    <row r="247" spans="1:2">
      <c r="A247" s="81"/>
      <c r="B247" s="84"/>
    </row>
    <row r="248" spans="1:2">
      <c r="A248" s="81"/>
      <c r="B248" s="84"/>
    </row>
    <row r="249" spans="1:2">
      <c r="A249" s="81"/>
      <c r="B249" s="84"/>
    </row>
    <row r="250" spans="1:2">
      <c r="A250" s="81"/>
      <c r="B250" s="84"/>
    </row>
    <row r="251" spans="1:2">
      <c r="A251" s="81"/>
      <c r="B251" s="84"/>
    </row>
    <row r="252" spans="1:2">
      <c r="A252" s="81"/>
      <c r="B252" s="84"/>
    </row>
    <row r="253" spans="1:2">
      <c r="A253" s="81"/>
      <c r="B253" s="84"/>
    </row>
    <row r="254" spans="1:2">
      <c r="A254" s="81"/>
      <c r="B254" s="84"/>
    </row>
    <row r="255" spans="1:2">
      <c r="A255" s="81"/>
      <c r="B255" s="84"/>
    </row>
    <row r="256" spans="1:2">
      <c r="A256" s="81"/>
      <c r="B256" s="84"/>
    </row>
    <row r="257" spans="1:2">
      <c r="A257" s="81"/>
      <c r="B257" s="84"/>
    </row>
    <row r="258" spans="1:2">
      <c r="A258" s="81"/>
      <c r="B258" s="84"/>
    </row>
    <row r="259" spans="1:2">
      <c r="A259" s="81"/>
      <c r="B259" s="84"/>
    </row>
    <row r="260" spans="1:2">
      <c r="A260" s="81"/>
      <c r="B260" s="84"/>
    </row>
    <row r="261" spans="1:2">
      <c r="A261" s="81"/>
      <c r="B261" s="84"/>
    </row>
    <row r="262" spans="1:2">
      <c r="A262" s="81"/>
      <c r="B262" s="84"/>
    </row>
    <row r="263" spans="1:2">
      <c r="A263" s="81"/>
      <c r="B263" s="84"/>
    </row>
    <row r="264" spans="1:2">
      <c r="A264" s="81"/>
      <c r="B264" s="84"/>
    </row>
    <row r="265" spans="1:2">
      <c r="A265" s="81"/>
      <c r="B265" s="84"/>
    </row>
    <row r="266" spans="1:2">
      <c r="A266" s="81"/>
      <c r="B266" s="84"/>
    </row>
    <row r="267" spans="1:2">
      <c r="A267" s="81"/>
      <c r="B267" s="84"/>
    </row>
    <row r="268" spans="1:2">
      <c r="A268" s="81"/>
      <c r="B268" s="84"/>
    </row>
    <row r="269" spans="1:2">
      <c r="A269" s="81"/>
      <c r="B269" s="84"/>
    </row>
    <row r="270" spans="1:2">
      <c r="A270" s="81"/>
      <c r="B270" s="84"/>
    </row>
    <row r="271" spans="1:2">
      <c r="A271" s="81"/>
      <c r="B271" s="84"/>
    </row>
    <row r="272" spans="1:2">
      <c r="A272" s="81"/>
      <c r="B272" s="84"/>
    </row>
    <row r="273" spans="1:2">
      <c r="A273" s="81"/>
      <c r="B273" s="84"/>
    </row>
    <row r="274" spans="1:2">
      <c r="A274" s="81"/>
      <c r="B274" s="84"/>
    </row>
    <row r="275" spans="1:2">
      <c r="A275" s="81"/>
      <c r="B275" s="84"/>
    </row>
    <row r="276" spans="1:2">
      <c r="A276" s="81"/>
      <c r="B276" s="84"/>
    </row>
    <row r="277" spans="1:2">
      <c r="A277" s="81"/>
      <c r="B277" s="84"/>
    </row>
    <row r="278" spans="1:2">
      <c r="A278" s="81"/>
      <c r="B278" s="84"/>
    </row>
    <row r="279" spans="1:2">
      <c r="A279" s="81"/>
      <c r="B279" s="84"/>
    </row>
    <row r="280" spans="1:2">
      <c r="A280" s="81"/>
      <c r="B280" s="84"/>
    </row>
    <row r="281" spans="1:2">
      <c r="A281" s="81"/>
      <c r="B281" s="84"/>
    </row>
    <row r="282" spans="1:2">
      <c r="A282" s="81"/>
      <c r="B282" s="84"/>
    </row>
    <row r="283" spans="1:2">
      <c r="A283" s="81"/>
      <c r="B283" s="84"/>
    </row>
    <row r="284" spans="1:2">
      <c r="A284" s="81"/>
      <c r="B284" s="84"/>
    </row>
    <row r="285" spans="1:2">
      <c r="A285" s="81"/>
      <c r="B285" s="84"/>
    </row>
    <row r="286" spans="1:2">
      <c r="A286" s="81"/>
      <c r="B286" s="84"/>
    </row>
    <row r="287" spans="1:2">
      <c r="A287" s="81"/>
      <c r="B287" s="84"/>
    </row>
    <row r="288" spans="1:2">
      <c r="A288" s="81"/>
      <c r="B288" s="84"/>
    </row>
    <row r="289" spans="1:2">
      <c r="A289" s="81"/>
      <c r="B289" s="84"/>
    </row>
    <row r="290" spans="1:2">
      <c r="A290" s="81"/>
      <c r="B290" s="84"/>
    </row>
    <row r="291" spans="1:2">
      <c r="A291" s="81"/>
      <c r="B291" s="84"/>
    </row>
    <row r="292" spans="1:2">
      <c r="A292" s="81"/>
      <c r="B292" s="84"/>
    </row>
    <row r="293" spans="1:2">
      <c r="A293" s="81"/>
      <c r="B293" s="84"/>
    </row>
    <row r="294" spans="1:2">
      <c r="A294" s="81"/>
      <c r="B294" s="84"/>
    </row>
    <row r="295" spans="1:2">
      <c r="A295" s="81"/>
      <c r="B295" s="84"/>
    </row>
    <row r="296" spans="1:2">
      <c r="A296" s="81"/>
      <c r="B296" s="84"/>
    </row>
    <row r="297" spans="1:2">
      <c r="A297" s="81"/>
      <c r="B297" s="84"/>
    </row>
    <row r="298" spans="1:2">
      <c r="A298" s="81"/>
      <c r="B298" s="84"/>
    </row>
    <row r="299" spans="1:2">
      <c r="A299" s="81"/>
      <c r="B299" s="84"/>
    </row>
    <row r="300" spans="1:2">
      <c r="A300" s="81"/>
      <c r="B300" s="84"/>
    </row>
    <row r="301" spans="1:2">
      <c r="A301" s="81"/>
      <c r="B301" s="84"/>
    </row>
    <row r="302" spans="1:2">
      <c r="A302" s="81"/>
      <c r="B302" s="84"/>
    </row>
    <row r="303" spans="1:2">
      <c r="A303" s="81"/>
      <c r="B303" s="84"/>
    </row>
    <row r="304" spans="1:2">
      <c r="A304" s="81"/>
      <c r="B304" s="84"/>
    </row>
    <row r="305" spans="1:2">
      <c r="A305" s="81"/>
      <c r="B305" s="84"/>
    </row>
    <row r="306" spans="1:2">
      <c r="A306" s="81"/>
      <c r="B306" s="84"/>
    </row>
    <row r="307" spans="1:2">
      <c r="A307" s="81"/>
      <c r="B307" s="84"/>
    </row>
    <row r="308" spans="1:2">
      <c r="A308" s="81"/>
      <c r="B308" s="84"/>
    </row>
    <row r="309" spans="1:2">
      <c r="A309" s="81"/>
      <c r="B309" s="84"/>
    </row>
    <row r="310" spans="1:2">
      <c r="A310" s="81"/>
      <c r="B310" s="84"/>
    </row>
    <row r="311" spans="1:2">
      <c r="A311" s="81"/>
      <c r="B311" s="84"/>
    </row>
    <row r="312" spans="1:2">
      <c r="A312" s="81"/>
      <c r="B312" s="84"/>
    </row>
    <row r="313" spans="1:2">
      <c r="A313" s="81"/>
      <c r="B313" s="84"/>
    </row>
    <row r="314" spans="1:2">
      <c r="A314" s="81"/>
      <c r="B314" s="84"/>
    </row>
    <row r="315" spans="1:2">
      <c r="A315" s="81"/>
      <c r="B315" s="84"/>
    </row>
    <row r="316" spans="1:2">
      <c r="A316" s="81"/>
      <c r="B316" s="84"/>
    </row>
    <row r="317" spans="1:2">
      <c r="A317" s="81"/>
      <c r="B317" s="84"/>
    </row>
    <row r="318" spans="1:2">
      <c r="A318" s="81"/>
      <c r="B318" s="84"/>
    </row>
    <row r="319" spans="1:2">
      <c r="A319" s="81"/>
      <c r="B319" s="84"/>
    </row>
    <row r="320" spans="1:2">
      <c r="A320" s="81"/>
      <c r="B320" s="84"/>
    </row>
    <row r="321" spans="1:2">
      <c r="A321" s="81"/>
      <c r="B321" s="84"/>
    </row>
    <row r="322" spans="1:2">
      <c r="A322" s="81"/>
      <c r="B322" s="84"/>
    </row>
    <row r="323" spans="1:2">
      <c r="A323" s="81"/>
      <c r="B323" s="84"/>
    </row>
    <row r="324" spans="1:2">
      <c r="A324" s="81"/>
      <c r="B324" s="84"/>
    </row>
    <row r="325" spans="1:2">
      <c r="A325" s="81"/>
      <c r="B325" s="84"/>
    </row>
    <row r="326" spans="1:2">
      <c r="A326" s="81"/>
      <c r="B326" s="84"/>
    </row>
    <row r="327" spans="1:2">
      <c r="A327" s="81"/>
      <c r="B327" s="84"/>
    </row>
    <row r="328" spans="1:2">
      <c r="A328" s="81"/>
      <c r="B328" s="84"/>
    </row>
    <row r="329" spans="1:2">
      <c r="A329" s="81"/>
      <c r="B329" s="84"/>
    </row>
    <row r="330" spans="1:2">
      <c r="A330" s="81"/>
      <c r="B330" s="84"/>
    </row>
    <row r="331" spans="1:2">
      <c r="A331" s="81"/>
      <c r="B331" s="84"/>
    </row>
    <row r="332" spans="1:2">
      <c r="A332" s="81"/>
      <c r="B332" s="84"/>
    </row>
    <row r="333" spans="1:2">
      <c r="A333" s="81"/>
      <c r="B333" s="84"/>
    </row>
    <row r="334" spans="1:2">
      <c r="A334" s="81"/>
      <c r="B334" s="84"/>
    </row>
    <row r="335" spans="1:2">
      <c r="A335" s="81"/>
      <c r="B335" s="84"/>
    </row>
    <row r="336" spans="1:2">
      <c r="A336" s="81"/>
      <c r="B336" s="84"/>
    </row>
    <row r="337" spans="1:2">
      <c r="A337" s="81"/>
      <c r="B337" s="84"/>
    </row>
    <row r="338" spans="1:2">
      <c r="A338" s="81"/>
      <c r="B338" s="84"/>
    </row>
    <row r="339" spans="1:2">
      <c r="A339" s="81"/>
      <c r="B339" s="84"/>
    </row>
    <row r="340" spans="1:2">
      <c r="A340" s="81"/>
      <c r="B340" s="84"/>
    </row>
    <row r="341" spans="1:2">
      <c r="A341" s="81"/>
      <c r="B341" s="84"/>
    </row>
    <row r="342" spans="1:2">
      <c r="A342" s="81"/>
      <c r="B342" s="84"/>
    </row>
    <row r="343" spans="1:2">
      <c r="A343" s="81"/>
      <c r="B343" s="84"/>
    </row>
    <row r="344" spans="1:2">
      <c r="A344" s="81"/>
      <c r="B344" s="84"/>
    </row>
    <row r="345" spans="1:2">
      <c r="A345" s="81"/>
      <c r="B345" s="84"/>
    </row>
    <row r="346" spans="1:2">
      <c r="A346" s="81"/>
      <c r="B346" s="84"/>
    </row>
    <row r="347" spans="1:2">
      <c r="A347" s="81"/>
      <c r="B347" s="84"/>
    </row>
    <row r="348" spans="1:2">
      <c r="A348" s="81"/>
      <c r="B348" s="84"/>
    </row>
    <row r="349" spans="1:2">
      <c r="A349" s="81"/>
      <c r="B349" s="84"/>
    </row>
    <row r="350" spans="1:2">
      <c r="A350" s="81"/>
      <c r="B350" s="84"/>
    </row>
    <row r="351" spans="1:2">
      <c r="A351" s="81"/>
      <c r="B351" s="84"/>
    </row>
    <row r="352" spans="1:2">
      <c r="A352" s="81"/>
      <c r="B352" s="84"/>
    </row>
    <row r="353" spans="1:2">
      <c r="A353" s="81"/>
      <c r="B353" s="84"/>
    </row>
    <row r="354" spans="1:2">
      <c r="A354" s="81"/>
      <c r="B354" s="84"/>
    </row>
    <row r="355" spans="1:2">
      <c r="A355" s="81"/>
      <c r="B355" s="84"/>
    </row>
    <row r="356" spans="1:2">
      <c r="A356" s="81"/>
      <c r="B356" s="84"/>
    </row>
    <row r="357" spans="1:2">
      <c r="A357" s="81"/>
      <c r="B357" s="84"/>
    </row>
    <row r="358" spans="1:2">
      <c r="A358" s="81"/>
      <c r="B358" s="84"/>
    </row>
    <row r="359" spans="1:2">
      <c r="A359" s="81"/>
      <c r="B359" s="84"/>
    </row>
    <row r="360" spans="1:2">
      <c r="A360" s="81"/>
      <c r="B360" s="84"/>
    </row>
    <row r="361" spans="1:2">
      <c r="A361" s="81"/>
      <c r="B361" s="84"/>
    </row>
    <row r="362" spans="1:2">
      <c r="A362" s="81"/>
      <c r="B362" s="84"/>
    </row>
    <row r="363" spans="1:2">
      <c r="A363" s="81"/>
      <c r="B363" s="84"/>
    </row>
    <row r="364" spans="1:2">
      <c r="A364" s="81"/>
      <c r="B364" s="84"/>
    </row>
    <row r="365" spans="1:2">
      <c r="A365" s="81"/>
      <c r="B365" s="84"/>
    </row>
    <row r="366" spans="1:2">
      <c r="A366" s="81"/>
      <c r="B366" s="84"/>
    </row>
    <row r="367" spans="1:2">
      <c r="A367" s="81"/>
      <c r="B367" s="84"/>
    </row>
    <row r="368" spans="1:2">
      <c r="A368" s="81"/>
      <c r="B368" s="84"/>
    </row>
    <row r="369" spans="1:2">
      <c r="A369" s="81"/>
      <c r="B369" s="84"/>
    </row>
    <row r="370" spans="1:2">
      <c r="A370" s="81"/>
      <c r="B370" s="84"/>
    </row>
    <row r="371" spans="1:2">
      <c r="A371" s="81"/>
      <c r="B371" s="84"/>
    </row>
    <row r="372" spans="1:2">
      <c r="A372" s="81"/>
      <c r="B372" s="84"/>
    </row>
    <row r="373" spans="1:2">
      <c r="A373" s="81"/>
      <c r="B373" s="84"/>
    </row>
    <row r="374" spans="1:2">
      <c r="A374" s="81"/>
      <c r="B374" s="84"/>
    </row>
    <row r="375" spans="1:2">
      <c r="A375" s="81"/>
      <c r="B375" s="84"/>
    </row>
    <row r="376" spans="1:2">
      <c r="A376" s="81"/>
      <c r="B376" s="84"/>
    </row>
    <row r="377" spans="1:2">
      <c r="A377" s="81"/>
      <c r="B377" s="84"/>
    </row>
    <row r="378" spans="1:2">
      <c r="A378" s="81"/>
      <c r="B378" s="84"/>
    </row>
    <row r="379" spans="1:2">
      <c r="A379" s="81"/>
      <c r="B379" s="84"/>
    </row>
    <row r="380" spans="1:2">
      <c r="A380" s="81"/>
      <c r="B380" s="84"/>
    </row>
    <row r="381" spans="1:2">
      <c r="A381" s="81"/>
      <c r="B381" s="84"/>
    </row>
    <row r="382" spans="1:2">
      <c r="A382" s="81"/>
      <c r="B382" s="84"/>
    </row>
    <row r="383" spans="1:2">
      <c r="A383" s="81"/>
      <c r="B383" s="84"/>
    </row>
    <row r="384" spans="1:2">
      <c r="A384" s="81"/>
      <c r="B384" s="84"/>
    </row>
    <row r="385" spans="1:2">
      <c r="A385" s="81"/>
      <c r="B385" s="84"/>
    </row>
    <row r="386" spans="1:2">
      <c r="A386" s="81"/>
      <c r="B386" s="84"/>
    </row>
    <row r="387" spans="1:2">
      <c r="A387" s="81"/>
      <c r="B387" s="84"/>
    </row>
    <row r="388" spans="1:2">
      <c r="A388" s="81"/>
      <c r="B388" s="84"/>
    </row>
    <row r="1009" spans="9:9">
      <c r="I1009" s="83" t="s">
        <v>9</v>
      </c>
    </row>
    <row r="1230" spans="81:81">
      <c r="CC1230" s="83">
        <v>2.5</v>
      </c>
    </row>
  </sheetData>
  <customSheetViews>
    <customSheetView guid="{69E5A7CD-EFA2-4E6E-B41F-90B1BC31EF03}" state="hidden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07DAC1EB-CE94-4538-8255-8332175787CD}" showRuler="0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09C9A710-F9DD-41B8-A31E-E1CB46AB501B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DA1FE2F-F252-466E-84E5-CD234CC749B2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FD54C09E-2E05-4E67-8780-9525CD9E9546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DB757A5E-A6EE-4098-A5F8-8B4CFE0C9492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9260E039-65E8-460E-ACE2-36A31A365F26}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028A95E-9564-45D4-BFBF-9942C76BF472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69F879A-DB9E-4DBC-9FFA-339DD24F0539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BFACE980-6D57-4099-8904-C74EECF727FD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1A11CA5-772F-459F-A0FA-32EF20F994F9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0C72BABD-E748-4894-A415-2168E7A2134A}" showAutoFilter="1" showRuler="0">
      <selection activeCell="B33" sqref="B33"/>
      <pageMargins left="0.78700000000000003" right="0.78700000000000003" top="0.98399999999999999" bottom="0.98399999999999999" header="0.51200000000000001" footer="0.51200000000000001"/>
      <headerFooter alignWithMargins="0"/>
      <autoFilter ref="B1:C1"/>
    </customSheetView>
    <customSheetView guid="{CE4C8907-CBC7-4854-A530-9CF46CA2A7DD}" showAutoFilter="1" showRuler="0">
      <selection activeCell="B33" sqref="B33"/>
      <pageMargins left="0.78700000000000003" right="0.78700000000000003" top="0.98399999999999999" bottom="0.98399999999999999" header="0.51200000000000001" footer="0.51200000000000001"/>
      <headerFooter alignWithMargins="0"/>
      <autoFilter ref="B1:C1"/>
    </customSheetView>
    <customSheetView guid="{32FC87F8-F422-4946-966C-9E988A3A43DF}" showAutoFilter="1" showRuler="0">
      <selection activeCell="B33" sqref="B33"/>
      <pageMargins left="0.78700000000000003" right="0.78700000000000003" top="0.98399999999999999" bottom="0.98399999999999999" header="0.51200000000000001" footer="0.51200000000000001"/>
      <pageSetup paperSize="9" orientation="portrait" horizontalDpi="1200" verticalDpi="1200" r:id="rId1"/>
      <headerFooter alignWithMargins="0"/>
      <autoFilter ref="B1:C1"/>
    </customSheetView>
    <customSheetView guid="{C4AED352-7CD8-49A0-97E6-380EC2528233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ABF9ADC9-B37F-4971-9003-01999D68CC26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A6CF0832-EA0E-4563-BD30-D95361788638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09B895E-9159-4579-96F6-A9D755593CC3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775A6EE9-0B73-4472-BAF3-736B08F2D0FF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0D0BA75-8ECF-44D8-9571-0014B1865EC3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74A5E3CE-15E8-4CA5-BF49-BEDF396BB955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EEA57607-BA51-4308-B836-692A61C34FE4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BC83E810-F43E-4D55-9FF4-F995B9722537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D12B3FE7-8AE8-4D24-AE0F-2E0BA365C3FB}">
      <selection activeCell="W5" sqref="W5"/>
    </customSheetView>
    <customSheetView guid="{234CC68A-C986-4622-87AC-690C5B8DF23E}" showRuler="0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A29CC1F7-9AAC-4E97-9617-4A0F8C63959D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D8F04BC6-C1B9-4093-A359-A79B0E555BAE}" showRuler="0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9F5EFB95-D083-4C81-8F9A-64900C39821A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F56809A7-9798-46A2-B48D-93B8D9283A05}">
      <selection activeCell="W5" sqref="W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72746006-79BE-434E-8086-C6AB5C5D2585}">
      <selection activeCell="E43" sqref="E43"/>
      <pageMargins left="0.78700000000000003" right="0.78700000000000003" top="0.98399999999999999" bottom="0.98399999999999999" header="0.51200000000000001" footer="0.51200000000000001"/>
      <headerFooter alignWithMargins="0"/>
    </customSheetView>
  </customSheetViews>
  <phoneticPr fontId="2"/>
  <conditionalFormatting sqref="A2:B388">
    <cfRule type="expression" dxfId="0" priority="4" stopIfTrue="1">
      <formula>$A2&lt;TODAY()</formula>
    </cfRule>
  </conditionalFormatting>
  <pageMargins left="0.78700000000000003" right="0.78700000000000003" top="0.98399999999999999" bottom="0.98399999999999999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62"/>
  <sheetViews>
    <sheetView workbookViewId="0">
      <selection activeCell="A3" sqref="A3"/>
    </sheetView>
  </sheetViews>
  <sheetFormatPr defaultRowHeight="13.5"/>
  <cols>
    <col min="1" max="1" width="13" bestFit="1" customWidth="1"/>
    <col min="2" max="16384" width="9" style="80"/>
  </cols>
  <sheetData>
    <row r="1" spans="1:1" ht="12">
      <c r="A1" s="80" t="s">
        <v>45</v>
      </c>
    </row>
    <row r="2" spans="1:1" ht="12">
      <c r="A2" s="80" t="s">
        <v>168</v>
      </c>
    </row>
    <row r="3" spans="1:1" ht="12">
      <c r="A3" s="80" t="s">
        <v>75</v>
      </c>
    </row>
    <row r="4" spans="1:1" ht="12">
      <c r="A4" s="80" t="s">
        <v>76</v>
      </c>
    </row>
    <row r="5" spans="1:1" ht="12">
      <c r="A5" s="80" t="s">
        <v>18</v>
      </c>
    </row>
    <row r="6" spans="1:1" ht="12">
      <c r="A6" s="80" t="s">
        <v>19</v>
      </c>
    </row>
    <row r="7" spans="1:1" ht="12">
      <c r="A7" s="80" t="s">
        <v>20</v>
      </c>
    </row>
    <row r="8" spans="1:1" ht="12">
      <c r="A8" s="80" t="s">
        <v>55</v>
      </c>
    </row>
    <row r="9" spans="1:1" ht="12">
      <c r="A9" s="80" t="s">
        <v>56</v>
      </c>
    </row>
    <row r="10" spans="1:1" ht="12">
      <c r="A10" s="80" t="s">
        <v>71</v>
      </c>
    </row>
    <row r="11" spans="1:1" ht="12">
      <c r="A11" s="80" t="s">
        <v>57</v>
      </c>
    </row>
    <row r="12" spans="1:1" ht="12">
      <c r="A12" s="80" t="s">
        <v>48</v>
      </c>
    </row>
    <row r="13" spans="1:1" ht="12">
      <c r="A13" s="80" t="s">
        <v>46</v>
      </c>
    </row>
    <row r="14" spans="1:1" ht="12">
      <c r="A14" s="80" t="s">
        <v>47</v>
      </c>
    </row>
    <row r="15" spans="1:1" ht="12">
      <c r="A15" s="80" t="s">
        <v>32</v>
      </c>
    </row>
    <row r="16" spans="1:1" ht="12">
      <c r="A16" s="80" t="s">
        <v>33</v>
      </c>
    </row>
    <row r="17" spans="1:1" ht="12">
      <c r="A17" s="80" t="s">
        <v>34</v>
      </c>
    </row>
    <row r="18" spans="1:1" ht="12">
      <c r="A18" s="80" t="s">
        <v>35</v>
      </c>
    </row>
    <row r="19" spans="1:1" ht="12">
      <c r="A19" s="80" t="s">
        <v>65</v>
      </c>
    </row>
    <row r="20" spans="1:1" ht="12">
      <c r="A20" s="80" t="s">
        <v>66</v>
      </c>
    </row>
    <row r="21" spans="1:1" ht="12">
      <c r="A21" s="80" t="s">
        <v>67</v>
      </c>
    </row>
    <row r="22" spans="1:1" ht="12">
      <c r="A22" s="80" t="s">
        <v>69</v>
      </c>
    </row>
    <row r="23" spans="1:1" ht="12">
      <c r="A23" s="80" t="s">
        <v>68</v>
      </c>
    </row>
    <row r="24" spans="1:1" ht="12">
      <c r="A24" s="80" t="s">
        <v>72</v>
      </c>
    </row>
    <row r="25" spans="1:1" ht="12">
      <c r="A25" s="80" t="s">
        <v>74</v>
      </c>
    </row>
    <row r="26" spans="1:1" ht="12">
      <c r="A26" s="80" t="s">
        <v>49</v>
      </c>
    </row>
    <row r="27" spans="1:1" ht="12">
      <c r="A27" s="80" t="s">
        <v>50</v>
      </c>
    </row>
    <row r="28" spans="1:1" ht="12">
      <c r="A28" s="80" t="s">
        <v>53</v>
      </c>
    </row>
    <row r="29" spans="1:1" ht="12">
      <c r="A29" s="80" t="s">
        <v>0</v>
      </c>
    </row>
    <row r="30" spans="1:1" ht="12">
      <c r="A30" s="80" t="s">
        <v>1</v>
      </c>
    </row>
    <row r="31" spans="1:1" ht="12">
      <c r="A31" s="80" t="s">
        <v>2</v>
      </c>
    </row>
    <row r="32" spans="1:1" ht="12">
      <c r="A32" s="80" t="s">
        <v>3</v>
      </c>
    </row>
    <row r="33" spans="1:1" ht="12">
      <c r="A33" s="80" t="s">
        <v>4</v>
      </c>
    </row>
    <row r="34" spans="1:1" ht="12">
      <c r="A34" s="80" t="s">
        <v>5</v>
      </c>
    </row>
    <row r="35" spans="1:1" ht="12">
      <c r="A35" s="80" t="s">
        <v>6</v>
      </c>
    </row>
    <row r="36" spans="1:1" ht="12">
      <c r="A36" s="80" t="s">
        <v>7</v>
      </c>
    </row>
    <row r="37" spans="1:1" ht="12">
      <c r="A37" s="80" t="s">
        <v>25</v>
      </c>
    </row>
    <row r="38" spans="1:1" ht="12">
      <c r="A38" s="80" t="s">
        <v>54</v>
      </c>
    </row>
    <row r="39" spans="1:1" ht="12">
      <c r="A39" s="80" t="s">
        <v>60</v>
      </c>
    </row>
    <row r="40" spans="1:1" ht="12">
      <c r="A40" s="80" t="s">
        <v>61</v>
      </c>
    </row>
    <row r="41" spans="1:1" ht="12">
      <c r="A41" s="80" t="s">
        <v>62</v>
      </c>
    </row>
    <row r="42" spans="1:1" ht="12">
      <c r="A42" s="80" t="s">
        <v>63</v>
      </c>
    </row>
    <row r="43" spans="1:1" ht="12">
      <c r="A43" s="80" t="s">
        <v>22</v>
      </c>
    </row>
    <row r="44" spans="1:1" ht="12">
      <c r="A44" s="80" t="s">
        <v>51</v>
      </c>
    </row>
    <row r="45" spans="1:1" ht="12">
      <c r="A45" s="80" t="s">
        <v>21</v>
      </c>
    </row>
    <row r="46" spans="1:1" ht="12">
      <c r="A46" s="80" t="s">
        <v>27</v>
      </c>
    </row>
    <row r="47" spans="1:1" ht="12">
      <c r="A47" s="80" t="s">
        <v>36</v>
      </c>
    </row>
    <row r="48" spans="1:1" ht="12">
      <c r="A48" s="80" t="s">
        <v>8</v>
      </c>
    </row>
    <row r="49" spans="1:1" ht="12">
      <c r="A49" s="80" t="s">
        <v>29</v>
      </c>
    </row>
    <row r="50" spans="1:1" ht="12">
      <c r="A50" s="80" t="s">
        <v>31</v>
      </c>
    </row>
    <row r="51" spans="1:1" ht="12">
      <c r="A51" s="80" t="s">
        <v>28</v>
      </c>
    </row>
    <row r="52" spans="1:1" ht="12">
      <c r="A52" s="80" t="s">
        <v>10</v>
      </c>
    </row>
    <row r="53" spans="1:1" ht="12">
      <c r="A53" s="80" t="s">
        <v>24</v>
      </c>
    </row>
    <row r="54" spans="1:1" ht="12">
      <c r="A54" s="80" t="s">
        <v>26</v>
      </c>
    </row>
    <row r="55" spans="1:1" ht="12">
      <c r="A55" s="80" t="s">
        <v>30</v>
      </c>
    </row>
    <row r="56" spans="1:1" ht="12">
      <c r="A56" s="80" t="s">
        <v>23</v>
      </c>
    </row>
    <row r="57" spans="1:1" ht="12">
      <c r="A57" s="80" t="s">
        <v>52</v>
      </c>
    </row>
    <row r="58" spans="1:1" ht="12">
      <c r="A58" s="80" t="s">
        <v>58</v>
      </c>
    </row>
    <row r="59" spans="1:1" ht="12">
      <c r="A59" s="126" t="s">
        <v>59</v>
      </c>
    </row>
    <row r="60" spans="1:1" ht="12">
      <c r="A60" s="126" t="s">
        <v>64</v>
      </c>
    </row>
    <row r="61" spans="1:1" ht="12">
      <c r="A61" s="126" t="s">
        <v>73</v>
      </c>
    </row>
    <row r="62" spans="1:1" ht="12">
      <c r="A62" s="126" t="s">
        <v>155</v>
      </c>
    </row>
  </sheetData>
  <customSheetViews>
    <customSheetView guid="{69E5A7CD-EFA2-4E6E-B41F-90B1BC31EF03}" state="hidden" topLeftCell="A13">
      <selection activeCell="A62" sqref="A62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07DAC1EB-CE94-4538-8255-8332175787CD}" showRuler="0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09C9A710-F9DD-41B8-A31E-E1CB46AB501B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DA1FE2F-F252-466E-84E5-CD234CC749B2}" topLeftCell="A25">
      <selection activeCell="A58" sqref="A58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FD54C09E-2E05-4E67-8780-9525CD9E9546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DB757A5E-A6EE-4098-A5F8-8B4CFE0C9492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9260E039-65E8-460E-ACE2-36A31A365F26}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028A95E-9564-45D4-BFBF-9942C76BF472}" showRuler="0">
      <selection activeCell="A47" sqref="A47:IV47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69F879A-DB9E-4DBC-9FFA-339DD24F0539}" showRuler="0">
      <selection activeCell="A47" sqref="A47:IV47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BFACE980-6D57-4099-8904-C74EECF727FD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1A11CA5-772F-459F-A0FA-32EF20F994F9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0C72BABD-E748-4894-A415-2168E7A2134A}" showRuler="0">
      <selection activeCell="A40" sqref="A40:IV40"/>
      <pageMargins left="0.78700000000000003" right="0.78700000000000003" top="0.98399999999999999" bottom="0.98399999999999999" header="0.51200000000000001" footer="0.51200000000000001"/>
      <pageSetup paperSize="9" orientation="portrait" verticalDpi="1200" r:id="rId1"/>
      <headerFooter alignWithMargins="0"/>
    </customSheetView>
    <customSheetView guid="{CE4C8907-CBC7-4854-A530-9CF46CA2A7DD}" showRuler="0">
      <selection activeCell="A40" sqref="A40:IV40"/>
      <pageMargins left="0.78700000000000003" right="0.78700000000000003" top="0.98399999999999999" bottom="0.98399999999999999" header="0.51200000000000001" footer="0.51200000000000001"/>
      <pageSetup paperSize="9" orientation="portrait" verticalDpi="1200" r:id="rId2"/>
      <headerFooter alignWithMargins="0"/>
    </customSheetView>
    <customSheetView guid="{32FC87F8-F422-4946-966C-9E988A3A43DF}" showRuler="0">
      <selection activeCell="A21" sqref="A21:IV21"/>
      <pageMargins left="0.78700000000000003" right="0.78700000000000003" top="0.98399999999999999" bottom="0.98399999999999999" header="0.51200000000000001" footer="0.51200000000000001"/>
      <pageSetup paperSize="9" orientation="portrait" verticalDpi="1200" r:id="rId3"/>
      <headerFooter alignWithMargins="0"/>
    </customSheetView>
    <customSheetView guid="{C4AED352-7CD8-49A0-97E6-380EC2528233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ABF9ADC9-B37F-4971-9003-01999D68CC26}" showRuler="0">
      <selection activeCell="A15" sqref="A15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A6CF0832-EA0E-4563-BD30-D95361788638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09B895E-9159-4579-96F6-A9D755593CC3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775A6EE9-0B73-4472-BAF3-736B08F2D0FF}" showRuler="0"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C0D0BA75-8ECF-44D8-9571-0014B1865EC3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74A5E3CE-15E8-4CA5-BF49-BEDF396BB955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EEA57607-BA51-4308-B836-692A61C34FE4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BC83E810-F43E-4D55-9FF4-F995B9722537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D12B3FE7-8AE8-4D24-AE0F-2E0BA365C3FB}">
      <selection activeCell="A22" sqref="A22"/>
    </customSheetView>
    <customSheetView guid="{234CC68A-C986-4622-87AC-690C5B8DF23E}" showRuler="0">
      <selection activeCell="A47" sqref="A47:IV47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A29CC1F7-9AAC-4E97-9617-4A0F8C63959D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D8F04BC6-C1B9-4093-A359-A79B0E555BAE}" showRuler="0">
      <selection activeCell="A47" sqref="A47:IV47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9F5EFB95-D083-4C81-8F9A-64900C39821A}" showRuler="0">
      <selection activeCell="A3" sqref="A3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F56809A7-9798-46A2-B48D-93B8D9283A05}">
      <selection activeCell="A21" sqref="A21"/>
      <pageMargins left="0.78700000000000003" right="0.78700000000000003" top="0.98399999999999999" bottom="0.98399999999999999" header="0.51200000000000001" footer="0.51200000000000001"/>
      <headerFooter alignWithMargins="0"/>
    </customSheetView>
    <customSheetView guid="{72746006-79BE-434E-8086-C6AB5C5D2585}" state="hidden" topLeftCell="A13">
      <selection activeCell="A62" sqref="A62"/>
      <pageMargins left="0.78700000000000003" right="0.78700000000000003" top="0.98399999999999999" bottom="0.98399999999999999" header="0.51200000000000001" footer="0.51200000000000001"/>
      <headerFooter alignWithMargins="0"/>
    </customSheetView>
  </customSheetViews>
  <phoneticPr fontId="2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MailSettings"/>
  <dimension ref="A1:G36"/>
  <sheetViews>
    <sheetView workbookViewId="0">
      <selection activeCell="G4" sqref="G4"/>
    </sheetView>
  </sheetViews>
  <sheetFormatPr defaultRowHeight="13.5"/>
  <cols>
    <col min="1" max="1" width="11.625" style="148" bestFit="1" customWidth="1"/>
    <col min="2" max="2" width="3.375" customWidth="1"/>
    <col min="3" max="3" width="1.125" customWidth="1"/>
    <col min="4" max="4" width="30.75" bestFit="1" customWidth="1"/>
    <col min="5" max="5" width="1.75" customWidth="1"/>
    <col min="6" max="6" width="17.375" bestFit="1" customWidth="1"/>
    <col min="7" max="7" width="61.125" customWidth="1"/>
  </cols>
  <sheetData>
    <row r="1" spans="1:7">
      <c r="A1" s="156" t="s">
        <v>80</v>
      </c>
      <c r="B1" s="157" t="s">
        <v>81</v>
      </c>
      <c r="D1" s="155" t="s">
        <v>82</v>
      </c>
      <c r="F1" t="s">
        <v>121</v>
      </c>
    </row>
    <row r="2" spans="1:7">
      <c r="A2" s="154">
        <v>40987</v>
      </c>
      <c r="B2" s="153" t="s">
        <v>84</v>
      </c>
      <c r="D2" s="153" t="s">
        <v>129</v>
      </c>
      <c r="F2" s="155" t="s">
        <v>122</v>
      </c>
      <c r="G2" s="158" t="s">
        <v>125</v>
      </c>
    </row>
    <row r="3" spans="1:7">
      <c r="A3" s="154">
        <v>41000</v>
      </c>
      <c r="B3" s="153" t="s">
        <v>130</v>
      </c>
      <c r="D3" s="153" t="s">
        <v>83</v>
      </c>
      <c r="F3" s="155" t="s">
        <v>124</v>
      </c>
      <c r="G3" s="159" t="s">
        <v>127</v>
      </c>
    </row>
    <row r="4" spans="1:7" ht="13.5" customHeight="1">
      <c r="A4" s="154">
        <v>41008</v>
      </c>
      <c r="B4" s="153" t="s">
        <v>143</v>
      </c>
      <c r="D4" s="153" t="s">
        <v>126</v>
      </c>
      <c r="F4" s="155" t="s">
        <v>123</v>
      </c>
      <c r="G4" s="159" t="s">
        <v>166</v>
      </c>
    </row>
    <row r="5" spans="1:7">
      <c r="A5" s="154">
        <v>41022</v>
      </c>
      <c r="B5" s="153" t="s">
        <v>143</v>
      </c>
      <c r="D5" s="153" t="s">
        <v>128</v>
      </c>
    </row>
    <row r="6" spans="1:7">
      <c r="A6" s="154">
        <v>41036</v>
      </c>
      <c r="B6" s="153" t="s">
        <v>143</v>
      </c>
      <c r="D6" s="153" t="s">
        <v>165</v>
      </c>
    </row>
    <row r="7" spans="1:7">
      <c r="A7" s="154">
        <v>41050</v>
      </c>
      <c r="B7" s="153"/>
      <c r="D7" s="153"/>
    </row>
    <row r="8" spans="1:7">
      <c r="A8" s="154">
        <v>41064</v>
      </c>
      <c r="B8" s="153"/>
      <c r="D8" s="153"/>
    </row>
    <row r="9" spans="1:7">
      <c r="A9" s="154">
        <v>41078</v>
      </c>
      <c r="B9" s="153"/>
      <c r="D9" s="153"/>
    </row>
    <row r="10" spans="1:7">
      <c r="A10" s="154">
        <v>41092</v>
      </c>
      <c r="B10" s="153"/>
    </row>
    <row r="11" spans="1:7">
      <c r="A11" s="154">
        <v>41106</v>
      </c>
      <c r="B11" s="153"/>
    </row>
    <row r="12" spans="1:7">
      <c r="A12" s="154">
        <v>41120</v>
      </c>
      <c r="B12" s="153"/>
    </row>
    <row r="13" spans="1:7">
      <c r="A13" s="154">
        <v>41134</v>
      </c>
      <c r="B13" s="153"/>
    </row>
    <row r="14" spans="1:7">
      <c r="A14" s="154">
        <v>41148</v>
      </c>
      <c r="B14" s="153"/>
    </row>
    <row r="15" spans="1:7">
      <c r="A15" s="154">
        <v>41162</v>
      </c>
      <c r="B15" s="153"/>
    </row>
    <row r="16" spans="1:7">
      <c r="A16" s="154">
        <v>41176</v>
      </c>
      <c r="B16" s="153"/>
    </row>
    <row r="17" spans="1:2">
      <c r="A17" s="154">
        <v>41190</v>
      </c>
      <c r="B17" s="153"/>
    </row>
    <row r="18" spans="1:2">
      <c r="A18" s="154">
        <v>41204</v>
      </c>
      <c r="B18" s="153"/>
    </row>
    <row r="19" spans="1:2">
      <c r="A19" s="154">
        <v>41218</v>
      </c>
      <c r="B19" s="153"/>
    </row>
    <row r="20" spans="1:2">
      <c r="A20" s="154">
        <v>41232</v>
      </c>
      <c r="B20" s="153"/>
    </row>
    <row r="21" spans="1:2">
      <c r="A21" s="154">
        <v>41246</v>
      </c>
      <c r="B21" s="153"/>
    </row>
    <row r="22" spans="1:2">
      <c r="A22" s="154">
        <v>41260</v>
      </c>
      <c r="B22" s="153"/>
    </row>
    <row r="23" spans="1:2">
      <c r="A23" s="154">
        <v>41274</v>
      </c>
      <c r="B23" s="153"/>
    </row>
    <row r="24" spans="1:2">
      <c r="A24" s="154">
        <v>41288</v>
      </c>
      <c r="B24" s="153"/>
    </row>
    <row r="25" spans="1:2">
      <c r="A25" s="154">
        <v>41302</v>
      </c>
      <c r="B25" s="153"/>
    </row>
    <row r="26" spans="1:2">
      <c r="A26" s="154">
        <v>41316</v>
      </c>
      <c r="B26" s="153"/>
    </row>
    <row r="27" spans="1:2">
      <c r="A27" s="154">
        <v>41330</v>
      </c>
      <c r="B27" s="153"/>
    </row>
    <row r="28" spans="1:2">
      <c r="A28" s="154">
        <v>41344</v>
      </c>
      <c r="B28" s="153"/>
    </row>
    <row r="29" spans="1:2">
      <c r="A29" s="154">
        <v>41358</v>
      </c>
      <c r="B29" s="153"/>
    </row>
    <row r="30" spans="1:2">
      <c r="A30" s="149"/>
    </row>
    <row r="31" spans="1:2">
      <c r="A31" s="149"/>
    </row>
    <row r="32" spans="1:2">
      <c r="A32" s="149"/>
    </row>
    <row r="33" spans="1:1">
      <c r="A33" s="149"/>
    </row>
    <row r="34" spans="1:1">
      <c r="A34" s="149"/>
    </row>
    <row r="35" spans="1:1">
      <c r="A35" s="149"/>
    </row>
    <row r="36" spans="1:1">
      <c r="A36" s="149"/>
    </row>
  </sheetData>
  <customSheetViews>
    <customSheetView guid="{69E5A7CD-EFA2-4E6E-B41F-90B1BC31EF03}" state="hidden">
      <selection activeCell="B4" sqref="B4"/>
      <pageMargins left="0.7" right="0.7" top="0.75" bottom="0.75" header="0.3" footer="0.3"/>
      <pageSetup paperSize="9" orientation="portrait" verticalDpi="0" r:id="rId1"/>
    </customSheetView>
    <customSheetView guid="{F56809A7-9798-46A2-B48D-93B8D9283A05}" state="hidden">
      <selection activeCell="B4" sqref="B4"/>
      <pageMargins left="0.7" right="0.7" top="0.75" bottom="0.75" header="0.3" footer="0.3"/>
      <pageSetup paperSize="9" orientation="portrait" verticalDpi="0" r:id="rId2"/>
    </customSheetView>
    <customSheetView guid="{72746006-79BE-434E-8086-C6AB5C5D2585}" state="hidden">
      <selection activeCell="G4" sqref="G4"/>
      <pageMargins left="0.7" right="0.7" top="0.75" bottom="0.75" header="0.3" footer="0.3"/>
      <pageSetup paperSize="9" orientation="portrait" verticalDpi="0" r:id="rId3"/>
    </customSheetView>
  </customSheetViews>
  <phoneticPr fontId="2"/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現在</vt:lpstr>
      <vt:lpstr>休日設定</vt:lpstr>
      <vt:lpstr>リソース</vt:lpstr>
      <vt:lpstr>MailSettings</vt:lpstr>
      <vt:lpstr>Resource</vt:lpstr>
    </vt:vector>
  </TitlesOfParts>
  <Company>株式会社　村田製作所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A1B5MEM15</dc:creator>
  <cp:lastModifiedBy>MMA1B3 三浦　一仁</cp:lastModifiedBy>
  <cp:lastPrinted>2010-05-27T08:44:05Z</cp:lastPrinted>
  <dcterms:created xsi:type="dcterms:W3CDTF">2006-07-11T00:21:15Z</dcterms:created>
  <dcterms:modified xsi:type="dcterms:W3CDTF">2012-06-15T03:28:54Z</dcterms:modified>
</cp:coreProperties>
</file>